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ph\Downloads\"/>
    </mc:Choice>
  </mc:AlternateContent>
  <xr:revisionPtr revIDLastSave="0" documentId="13_ncr:1_{51E3A48A-C50C-44B0-9404-B53606A118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Sheet1!$A$1:$Z$326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5" i="1" l="1"/>
  <c r="C325" i="1"/>
  <c r="D324" i="1"/>
  <c r="C324" i="1"/>
  <c r="D323" i="1"/>
  <c r="C323" i="1"/>
  <c r="D322" i="1"/>
  <c r="C322" i="1"/>
  <c r="D321" i="1"/>
  <c r="C321" i="1"/>
  <c r="D318" i="1"/>
  <c r="C318" i="1"/>
  <c r="D315" i="1"/>
  <c r="C315" i="1"/>
  <c r="D302" i="1"/>
  <c r="C302" i="1"/>
  <c r="D296" i="1"/>
  <c r="C296" i="1"/>
  <c r="D292" i="1"/>
  <c r="C292" i="1"/>
  <c r="D277" i="1"/>
  <c r="C277" i="1"/>
  <c r="D272" i="1"/>
  <c r="C272" i="1"/>
  <c r="D271" i="1"/>
  <c r="C271" i="1"/>
  <c r="D267" i="1"/>
  <c r="C267" i="1"/>
  <c r="D259" i="1"/>
  <c r="C259" i="1"/>
  <c r="D253" i="1"/>
  <c r="C253" i="1"/>
  <c r="D244" i="1"/>
  <c r="C244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7" i="1"/>
  <c r="C187" i="1"/>
  <c r="D186" i="1"/>
  <c r="C186" i="1"/>
  <c r="D185" i="1"/>
  <c r="C185" i="1"/>
  <c r="D183" i="1"/>
  <c r="C183" i="1"/>
  <c r="D182" i="1"/>
  <c r="C182" i="1"/>
  <c r="D181" i="1"/>
  <c r="C181" i="1"/>
  <c r="D180" i="1"/>
  <c r="C180" i="1"/>
  <c r="D179" i="1"/>
  <c r="C179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2" i="1"/>
  <c r="C152" i="1"/>
  <c r="D151" i="1"/>
  <c r="C151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C41" i="1"/>
  <c r="D40" i="1"/>
  <c r="C40" i="1"/>
  <c r="D39" i="1"/>
  <c r="C39" i="1"/>
  <c r="D38" i="1"/>
  <c r="C38" i="1"/>
  <c r="D37" i="1"/>
  <c r="C37" i="1"/>
  <c r="D36" i="1"/>
  <c r="C36" i="1"/>
  <c r="D34" i="1"/>
  <c r="C34" i="1"/>
  <c r="D33" i="1"/>
  <c r="C33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8" i="1"/>
  <c r="C8" i="1"/>
  <c r="D7" i="1"/>
  <c r="C7" i="1"/>
  <c r="D6" i="1"/>
  <c r="C6" i="1"/>
  <c r="D5" i="1"/>
  <c r="C5" i="1"/>
  <c r="D4" i="1"/>
  <c r="C4" i="1"/>
  <c r="D2" i="1"/>
  <c r="C2" i="1"/>
</calcChain>
</file>

<file path=xl/sharedStrings.xml><?xml version="1.0" encoding="utf-8"?>
<sst xmlns="http://schemas.openxmlformats.org/spreadsheetml/2006/main" count="1160" uniqueCount="492">
  <si>
    <t>Broker ID</t>
  </si>
  <si>
    <t>Name</t>
  </si>
  <si>
    <t>Routing</t>
  </si>
  <si>
    <t>Account</t>
  </si>
  <si>
    <t>Coverage Month</t>
  </si>
  <si>
    <t>Effective Date</t>
  </si>
  <si>
    <t>Type</t>
  </si>
  <si>
    <t>Amount</t>
  </si>
  <si>
    <t>Innovative BPS LLC</t>
  </si>
  <si>
    <t>January 2026 Premium</t>
  </si>
  <si>
    <t>ACH</t>
  </si>
  <si>
    <t>Bravo Health Partners LLC</t>
  </si>
  <si>
    <t>122100024</t>
  </si>
  <si>
    <t>557887232</t>
  </si>
  <si>
    <t>Vault Risk Advisors (was #Insurance Agency )</t>
  </si>
  <si>
    <t>Accelerated LLC Accelerated Consulting Group</t>
  </si>
  <si>
    <t>Arizona Benefit Plans</t>
  </si>
  <si>
    <t>Really Good Benefits</t>
  </si>
  <si>
    <t>Cutting-Edge Benefits</t>
  </si>
  <si>
    <t>IG Benefit Solutions</t>
  </si>
  <si>
    <t>111014325</t>
  </si>
  <si>
    <t>8092528570</t>
  </si>
  <si>
    <t>Been Benefits</t>
  </si>
  <si>
    <t>Resource Seven</t>
  </si>
  <si>
    <t>Pivotal Health</t>
  </si>
  <si>
    <t>De La Torre &amp; Associates Insurance Services</t>
  </si>
  <si>
    <t>Big Sky Benefit Solutions</t>
  </si>
  <si>
    <t>R &amp; B Insurance Services LLC</t>
  </si>
  <si>
    <t>Core Care Consulting LLC</t>
  </si>
  <si>
    <t>Five Points Consulting Group</t>
  </si>
  <si>
    <t>Lora Watson Agency</t>
  </si>
  <si>
    <t>Amcheck National Broker Services Inc</t>
  </si>
  <si>
    <t>TLR Insurance</t>
  </si>
  <si>
    <t>Impact Beneficial, Co.</t>
  </si>
  <si>
    <t>The Manske District</t>
  </si>
  <si>
    <t>Benefit Intelligence Inc</t>
  </si>
  <si>
    <t>716197967</t>
  </si>
  <si>
    <t>Next Step Benefits</t>
  </si>
  <si>
    <t>HUB International Texas</t>
  </si>
  <si>
    <t>BHS Insurance</t>
  </si>
  <si>
    <t>Benefit Broker at Asset Consulting LLC</t>
  </si>
  <si>
    <t>Michelle Guerra</t>
  </si>
  <si>
    <t>Reign Health &amp; Wealth Management</t>
  </si>
  <si>
    <t>Beskin-Divers A World Insurance Agency</t>
  </si>
  <si>
    <t>Faith Wooley Agency</t>
  </si>
  <si>
    <t>Thomas Financial</t>
  </si>
  <si>
    <t>063108680</t>
  </si>
  <si>
    <t>41013751</t>
  </si>
  <si>
    <t>ECG Insurance</t>
  </si>
  <si>
    <t>Midwest Benefit Advisors, Inc.</t>
  </si>
  <si>
    <t>New Journe</t>
  </si>
  <si>
    <t>091311229</t>
  </si>
  <si>
    <t>202452218187</t>
  </si>
  <si>
    <t>Digital Insurance LLC</t>
  </si>
  <si>
    <t>Rise Up Benefits</t>
  </si>
  <si>
    <t>Hylant Group</t>
  </si>
  <si>
    <t>Zain Jeewanjee Insurance Agency</t>
  </si>
  <si>
    <t>HPB Insurance Group</t>
  </si>
  <si>
    <t>Insurica Southwest Insurance Services LLC</t>
  </si>
  <si>
    <t>2965358</t>
  </si>
  <si>
    <t>Cbiz Benefits &amp; Insurance Services Inc CBIZ</t>
  </si>
  <si>
    <t>Marsh USA</t>
  </si>
  <si>
    <t>National Benefit Partners West</t>
  </si>
  <si>
    <t>REB Consulting Inc</t>
  </si>
  <si>
    <t>Eagleston Financial Group</t>
  </si>
  <si>
    <t>The Mahoney Group</t>
  </si>
  <si>
    <t>Common Sense Approach</t>
  </si>
  <si>
    <t>Fringe Benefit Plans, Inc</t>
  </si>
  <si>
    <t>NorthStar Benefits Partners</t>
  </si>
  <si>
    <t>Luxen Works LLC</t>
  </si>
  <si>
    <t>Michael Repeckyj</t>
  </si>
  <si>
    <t>036076150</t>
  </si>
  <si>
    <t>6315279280</t>
  </si>
  <si>
    <t>Carter May</t>
  </si>
  <si>
    <t>Indipop</t>
  </si>
  <si>
    <t>CMC PRO</t>
  </si>
  <si>
    <t>Benetrend Partners</t>
  </si>
  <si>
    <t>The Enterprise Team</t>
  </si>
  <si>
    <t>Brown &amp; Brown Insurance Of Arizona</t>
  </si>
  <si>
    <t>DDI Benefits Inc</t>
  </si>
  <si>
    <t>Royal Benefits Group</t>
  </si>
  <si>
    <t>Bukaty Companies</t>
  </si>
  <si>
    <t>Cbiz Florida</t>
  </si>
  <si>
    <t>Texas Health Quotes Now, LLC</t>
  </si>
  <si>
    <t>Mark Burrows Company, Inc.</t>
  </si>
  <si>
    <t>Pride Consulting LLC</t>
  </si>
  <si>
    <t>Benefleet Insurance</t>
  </si>
  <si>
    <t>081000032</t>
  </si>
  <si>
    <t>110210559405</t>
  </si>
  <si>
    <t>Deacon &amp; Deacon Insurance &amp; Benefits Consulting</t>
  </si>
  <si>
    <t>Graystone Insurance Agency</t>
  </si>
  <si>
    <t>Legacy Benefits Inc</t>
  </si>
  <si>
    <t>Stuckey Insurance</t>
  </si>
  <si>
    <t>JSA Group</t>
  </si>
  <si>
    <t>The Benefit Doctor</t>
  </si>
  <si>
    <t>P 13:11 Partnerships</t>
  </si>
  <si>
    <t>WAFD Insurance Group</t>
  </si>
  <si>
    <t>GLS Insurance</t>
  </si>
  <si>
    <t>LBW Insurance</t>
  </si>
  <si>
    <t>322271627</t>
  </si>
  <si>
    <t>680556605</t>
  </si>
  <si>
    <t>NCW Risk Management</t>
  </si>
  <si>
    <t>Professional Group Plans PGP</t>
  </si>
  <si>
    <t>Stone Hill &amp; Associates Insurance Brokerage</t>
  </si>
  <si>
    <t>Anthony Whitby</t>
  </si>
  <si>
    <t>Silkman Financial Services</t>
  </si>
  <si>
    <t>Knudson Benefits Group</t>
  </si>
  <si>
    <t>Edge Health Agency Partners, Inc.</t>
  </si>
  <si>
    <t>R&amp;R Insurance Solutions</t>
  </si>
  <si>
    <t>Group Warehouse Insurance</t>
  </si>
  <si>
    <t>Maris Walters</t>
  </si>
  <si>
    <t>David Mechnig</t>
  </si>
  <si>
    <t>Peak Benefits</t>
  </si>
  <si>
    <t>CY Benefits</t>
  </si>
  <si>
    <t>Arnel Associates</t>
  </si>
  <si>
    <t>BenefitMall</t>
  </si>
  <si>
    <t>Martel Benefit Services</t>
  </si>
  <si>
    <t>Trupiano &amp; Associates</t>
  </si>
  <si>
    <t>Angelia Bell</t>
  </si>
  <si>
    <t>Your Policy, LLC</t>
  </si>
  <si>
    <t>Sunflower Benefits Group</t>
  </si>
  <si>
    <t>Voluntary Benefits At Work</t>
  </si>
  <si>
    <t>Keyser Insurance Group</t>
  </si>
  <si>
    <t>Simplified Insurance Solutions Inc</t>
  </si>
  <si>
    <t>Prometheus Insurance Group</t>
  </si>
  <si>
    <t>SVJ Insurance Advisors Inc.</t>
  </si>
  <si>
    <t>D5 Family Holdings, LLC</t>
  </si>
  <si>
    <t>Ohio Insurance &amp; Financial Services, LLC</t>
  </si>
  <si>
    <t>Wendy Shelly</t>
  </si>
  <si>
    <t>David Pepin</t>
  </si>
  <si>
    <t>Affordable Benefit Solutions LLC</t>
  </si>
  <si>
    <t>Piedmont Benefits Group</t>
  </si>
  <si>
    <t>Marketplace 4 Insurance Llc</t>
  </si>
  <si>
    <t>Kassel Benefits Llc</t>
  </si>
  <si>
    <t>Hub International Midwest Limited</t>
  </si>
  <si>
    <t>Loreen &amp; Lane LLC</t>
  </si>
  <si>
    <t>WA Group</t>
  </si>
  <si>
    <t>SBG Advisors</t>
  </si>
  <si>
    <t>Corporate Plans, LLC</t>
  </si>
  <si>
    <t>TMW Insurance Agency</t>
  </si>
  <si>
    <t>Crest Insurance Group Inc</t>
  </si>
  <si>
    <t>Smith Brothers</t>
  </si>
  <si>
    <t>Becker Consulting</t>
  </si>
  <si>
    <t>NewLeafBenefits LLC</t>
  </si>
  <si>
    <t>Families First Financial - Givers Guild LLC</t>
  </si>
  <si>
    <t>Penney Properties Insurance LLC</t>
  </si>
  <si>
    <t>Lacie Dehn</t>
  </si>
  <si>
    <t>Swartzendruber Solutions</t>
  </si>
  <si>
    <t>Inszone Insurance Services</t>
  </si>
  <si>
    <t>Frank Prescott</t>
  </si>
  <si>
    <t>R&amp;s Iversen Llc</t>
  </si>
  <si>
    <t>DMack Insurance</t>
  </si>
  <si>
    <t>Martin Insurance Services, Inc</t>
  </si>
  <si>
    <t>Mel Schlesinger</t>
  </si>
  <si>
    <t>Fidelis Insurance Solutions</t>
  </si>
  <si>
    <t>Vaughn Insurance &amp; Financial Services Inc</t>
  </si>
  <si>
    <t>Truadvantage</t>
  </si>
  <si>
    <t>Wisconsin Insurance Brokerage</t>
  </si>
  <si>
    <t>Insurance Office of America</t>
  </si>
  <si>
    <t>061100606</t>
  </si>
  <si>
    <t>3089575800</t>
  </si>
  <si>
    <t>EnhanceMyBenefits.com</t>
  </si>
  <si>
    <t>Whittenburg Insurance And Investment Group</t>
  </si>
  <si>
    <t>Advocate, Inc</t>
  </si>
  <si>
    <t>Reef Health</t>
  </si>
  <si>
    <t>Integrity Insurance Solutions</t>
  </si>
  <si>
    <t>jennifer McDonald</t>
  </si>
  <si>
    <t>Corpoarte Benefit Analyst</t>
  </si>
  <si>
    <t>IQ Financial Group</t>
  </si>
  <si>
    <t>The Jordan Insurance Agency, LLC</t>
  </si>
  <si>
    <t>Aurora Benefits LLC</t>
  </si>
  <si>
    <t>Lebaron &amp; Carroll</t>
  </si>
  <si>
    <t>Leslie Saunders Insurance Agency</t>
  </si>
  <si>
    <t>Lindsay Smith</t>
  </si>
  <si>
    <t>Benefit Advisors Of Charleston LLC / Vero Advising LLC</t>
  </si>
  <si>
    <t>Petra Pacific Insurance Service</t>
  </si>
  <si>
    <t>F and I Benefits</t>
  </si>
  <si>
    <t>063100277</t>
  </si>
  <si>
    <t>898035963340</t>
  </si>
  <si>
    <t>The Livanos Group, LLC</t>
  </si>
  <si>
    <t>RPS Benefits By Design, Inc</t>
  </si>
  <si>
    <t>Atwood Insurance Group</t>
  </si>
  <si>
    <t>107000262</t>
  </si>
  <si>
    <t>732040040</t>
  </si>
  <si>
    <t>Breslau Insurance and Benefits</t>
  </si>
  <si>
    <t>Vero Financial Group</t>
  </si>
  <si>
    <t>Sgs Healthgroup, Inc</t>
  </si>
  <si>
    <t>BOYD, SHAKELFORD, BARNETT, &amp; DIXON</t>
  </si>
  <si>
    <t>Tri-Coast Advisors</t>
  </si>
  <si>
    <t>JC Rose Associates LLC</t>
  </si>
  <si>
    <t>L&amp;C Insurance</t>
  </si>
  <si>
    <t>Assured Partners Of St. Louis</t>
  </si>
  <si>
    <t>The Pennant Group</t>
  </si>
  <si>
    <t>Alyssa Macaluso</t>
  </si>
  <si>
    <t>Paradigm Insurance And Financial Partners</t>
  </si>
  <si>
    <t>CBS Insurance Services LLC</t>
  </si>
  <si>
    <t>Schkabla, LLC</t>
  </si>
  <si>
    <t>Sonoran Insurance Solutions</t>
  </si>
  <si>
    <t>Assured Partners Of West Virginia</t>
  </si>
  <si>
    <t>Capital Benefit Group Inc</t>
  </si>
  <si>
    <t>Padgett Insurance Agency</t>
  </si>
  <si>
    <t>Mary Hutz</t>
  </si>
  <si>
    <t>PGIS Holdings LLC Patriot Growth Insurance Services LLC</t>
  </si>
  <si>
    <t>Reiser Insurance</t>
  </si>
  <si>
    <t>Jan Doughty Agency</t>
  </si>
  <si>
    <t>Iverness Benefits Inc</t>
  </si>
  <si>
    <t>Partners Benefit Group LLC</t>
  </si>
  <si>
    <t>Medford Health Group</t>
  </si>
  <si>
    <t>IMA dba Diversified Insurance</t>
  </si>
  <si>
    <t>Shannon Muse</t>
  </si>
  <si>
    <t>GDK INC dba DeFurio Mongell Insuran</t>
  </si>
  <si>
    <t>Marsh &amp; McLennan - Midwest Region</t>
  </si>
  <si>
    <t>Alliant Insurance Services</t>
  </si>
  <si>
    <t>Preferred Benefit Solutions, LLC</t>
  </si>
  <si>
    <t>Freedom Benefits Group</t>
  </si>
  <si>
    <t>067015287</t>
  </si>
  <si>
    <t>29157293</t>
  </si>
  <si>
    <t>DP Financial Services</t>
  </si>
  <si>
    <t>Legacy Insurance And Financial Services</t>
  </si>
  <si>
    <t>LIVERMORE GROUP LLC</t>
  </si>
  <si>
    <t>Black, Gould &amp; Associates, Inc.</t>
  </si>
  <si>
    <t>121000248</t>
  </si>
  <si>
    <t>4128025681</t>
  </si>
  <si>
    <t>Virginia Shadowens</t>
  </si>
  <si>
    <t>NBI &amp; Associates</t>
  </si>
  <si>
    <t>Benefit Pro Insurance Services</t>
  </si>
  <si>
    <t>Goodwill Benefits Group LLC</t>
  </si>
  <si>
    <t>Marlene Wanzong</t>
  </si>
  <si>
    <t>Nelson Insurance Brokerage</t>
  </si>
  <si>
    <t>Delta 4 Benefits</t>
  </si>
  <si>
    <t>Matthew J Welt Consulting LLC</t>
  </si>
  <si>
    <t>Iverson &amp; Associates, inc</t>
  </si>
  <si>
    <t>124000737</t>
  </si>
  <si>
    <t>520047085</t>
  </si>
  <si>
    <t>PCF Of The West Dba Global Benefits Insurance Agency Global Benefits</t>
  </si>
  <si>
    <t>Butler Benefits &amp; Consulting LLC</t>
  </si>
  <si>
    <t>One Nine Insurance</t>
  </si>
  <si>
    <t>Business Benefits Group</t>
  </si>
  <si>
    <t>Klein Financial</t>
  </si>
  <si>
    <t>Holmes Murphy &amp; Associates</t>
  </si>
  <si>
    <t>DMG Enterprises Inc</t>
  </si>
  <si>
    <t>Risk Strategies Company</t>
  </si>
  <si>
    <t>321081669</t>
  </si>
  <si>
    <t>80000453747</t>
  </si>
  <si>
    <t>Rocky Mountain Life Plus Insurance Services Llc</t>
  </si>
  <si>
    <t>The Hilb Group Of South Carolina</t>
  </si>
  <si>
    <t>EPIC</t>
  </si>
  <si>
    <t>Strunk Insurance Group</t>
  </si>
  <si>
    <t>Working Class Benefits</t>
  </si>
  <si>
    <t>Benchmark Benefits</t>
  </si>
  <si>
    <t>Fd National</t>
  </si>
  <si>
    <t>The Benefits Department</t>
  </si>
  <si>
    <t>Assured Partners Of Arizona, LLC</t>
  </si>
  <si>
    <t>Prime Benefit Solutions</t>
  </si>
  <si>
    <t>Edward Wiemeler</t>
  </si>
  <si>
    <t>Ricky Dean Solutions</t>
  </si>
  <si>
    <t>Watson Group LLC</t>
  </si>
  <si>
    <t>Jennifer Thom</t>
  </si>
  <si>
    <t>The Olympic Benefit Group</t>
  </si>
  <si>
    <t>Easy Benies LLC</t>
  </si>
  <si>
    <t>Verus Insurance Services LLC, DBA SolV Independent Insurance Associates</t>
  </si>
  <si>
    <t>Lockton Companies, LLC</t>
  </si>
  <si>
    <t>Gene Pleasants Agency, Inc.</t>
  </si>
  <si>
    <t>Brightline Dealers</t>
  </si>
  <si>
    <t>111322994</t>
  </si>
  <si>
    <t>7717336804</t>
  </si>
  <si>
    <t>MJ Insurance</t>
  </si>
  <si>
    <t>Prodegi Corporate Benefit Services LLC</t>
  </si>
  <si>
    <t>Group Benefits LLC dba Packard Wheeler Succession</t>
  </si>
  <si>
    <t>Dee Garrett Agency</t>
  </si>
  <si>
    <t>Miller &amp; Associates Insurance Agency</t>
  </si>
  <si>
    <t>Neal Scherzinger</t>
  </si>
  <si>
    <t>Saratoga Benefit Services, LLC</t>
  </si>
  <si>
    <t>Amanda J Noe</t>
  </si>
  <si>
    <t>Stull Insurance Services</t>
  </si>
  <si>
    <t>HUB International Limited - Utah</t>
  </si>
  <si>
    <t>Calibrated Benefits Group</t>
  </si>
  <si>
    <t>Nielsen Group LLC</t>
  </si>
  <si>
    <t>091901558</t>
  </si>
  <si>
    <t>4431029435</t>
  </si>
  <si>
    <t>coshared.co</t>
  </si>
  <si>
    <t>658713923</t>
  </si>
  <si>
    <t>RS Assurance, LLC</t>
  </si>
  <si>
    <t>122105320</t>
  </si>
  <si>
    <t>5793042200</t>
  </si>
  <si>
    <t>Generous Benefits</t>
  </si>
  <si>
    <t>121137522</t>
  </si>
  <si>
    <t>1895303756</t>
  </si>
  <si>
    <t>Grace Financial Services</t>
  </si>
  <si>
    <t>253177832</t>
  </si>
  <si>
    <t>400050339980</t>
  </si>
  <si>
    <t>Tracey Williamson</t>
  </si>
  <si>
    <t>053103585</t>
  </si>
  <si>
    <t>241006753</t>
  </si>
  <si>
    <t>Sia Group</t>
  </si>
  <si>
    <t>Strategic Benefits</t>
  </si>
  <si>
    <t>031176110</t>
  </si>
  <si>
    <t>36041394822</t>
  </si>
  <si>
    <t>Jeff Adams</t>
  </si>
  <si>
    <t>062000019</t>
  </si>
  <si>
    <t>2903367711</t>
  </si>
  <si>
    <t>Insured with Benny</t>
  </si>
  <si>
    <t>102000076</t>
  </si>
  <si>
    <t>3824944668</t>
  </si>
  <si>
    <t>Benefits4BizOwners</t>
  </si>
  <si>
    <t>262275835</t>
  </si>
  <si>
    <t>51006729089</t>
  </si>
  <si>
    <t>Xperience Benefits</t>
  </si>
  <si>
    <t>063107513</t>
  </si>
  <si>
    <t>9282869354</t>
  </si>
  <si>
    <t>Voluntary Partners</t>
  </si>
  <si>
    <t>3593427754</t>
  </si>
  <si>
    <t>Rick Liuag Insurance Agency</t>
  </si>
  <si>
    <t>121042882</t>
  </si>
  <si>
    <t>9837098731</t>
  </si>
  <si>
    <t>AMERILIFE Mid-Atlantic Marketing</t>
  </si>
  <si>
    <t>267084131</t>
  </si>
  <si>
    <t>368615172</t>
  </si>
  <si>
    <t>Morin Associates</t>
  </si>
  <si>
    <t>Christopher Jones</t>
  </si>
  <si>
    <t>256074974</t>
  </si>
  <si>
    <t>7138943605</t>
  </si>
  <si>
    <t>Rhema Insurance LLC</t>
  </si>
  <si>
    <t>995973259</t>
  </si>
  <si>
    <t>Philip Bredahl</t>
  </si>
  <si>
    <t>322172496</t>
  </si>
  <si>
    <t>63292604633</t>
  </si>
  <si>
    <t>Health Benefits Connect</t>
  </si>
  <si>
    <t>2957462696</t>
  </si>
  <si>
    <t>RiseWell Insurance Group</t>
  </si>
  <si>
    <t>064008637</t>
  </si>
  <si>
    <t>4200004366</t>
  </si>
  <si>
    <t>Rgroup Professional Services</t>
  </si>
  <si>
    <t>Independent Broker John Simnacher</t>
  </si>
  <si>
    <t>113122655</t>
  </si>
  <si>
    <t>6283047</t>
  </si>
  <si>
    <t>Independent Broker Jenna Klein</t>
  </si>
  <si>
    <t>273976369</t>
  </si>
  <si>
    <t>1590016518801</t>
  </si>
  <si>
    <t>BBI Solutions, LLC</t>
  </si>
  <si>
    <t>111911321</t>
  </si>
  <si>
    <t>4714520</t>
  </si>
  <si>
    <t>Independent Broker Brian Demarest</t>
  </si>
  <si>
    <t>657819592</t>
  </si>
  <si>
    <t>Benefits Focus Group</t>
  </si>
  <si>
    <t>071000013</t>
  </si>
  <si>
    <t>159808610</t>
  </si>
  <si>
    <t>Empire Financial Services, LLC</t>
  </si>
  <si>
    <t>101000019</t>
  </si>
  <si>
    <t>741015258</t>
  </si>
  <si>
    <t>Southern Pearl Consulting</t>
  </si>
  <si>
    <t>8915476991</t>
  </si>
  <si>
    <t>The Health Insurance Gal</t>
  </si>
  <si>
    <t>Benefits For Trucking</t>
  </si>
  <si>
    <t>211370150</t>
  </si>
  <si>
    <t>99578183</t>
  </si>
  <si>
    <t>HealthandWealthGuardians</t>
  </si>
  <si>
    <t>073902494</t>
  </si>
  <si>
    <t>446126211</t>
  </si>
  <si>
    <t>Joshua Hand</t>
  </si>
  <si>
    <t>053104568</t>
  </si>
  <si>
    <t>1363007777</t>
  </si>
  <si>
    <t>Cornerstone Financial Partners &amp; Associates</t>
  </si>
  <si>
    <t>BZRK LLC</t>
  </si>
  <si>
    <t>William Hummer Agency</t>
  </si>
  <si>
    <t>064003768</t>
  </si>
  <si>
    <t>2326177322</t>
  </si>
  <si>
    <t>Skorheim Benefits</t>
  </si>
  <si>
    <t>113011258</t>
  </si>
  <si>
    <t>4004027140</t>
  </si>
  <si>
    <t>Your PAL LLC</t>
  </si>
  <si>
    <t>313083727</t>
  </si>
  <si>
    <t>365942</t>
  </si>
  <si>
    <t>Tammera Mentzel</t>
  </si>
  <si>
    <t>053101121</t>
  </si>
  <si>
    <t>1340019342106</t>
  </si>
  <si>
    <t>Nevada Benefits</t>
  </si>
  <si>
    <t>Elkin Financial Group LLC</t>
  </si>
  <si>
    <t>074903719</t>
  </si>
  <si>
    <t>1016495065</t>
  </si>
  <si>
    <t>Miguel Moreira - Senior Guardian Financial LLC</t>
  </si>
  <si>
    <t>229037570711</t>
  </si>
  <si>
    <t>Luke Kirkwood</t>
  </si>
  <si>
    <t>064209588</t>
  </si>
  <si>
    <t>200001502723</t>
  </si>
  <si>
    <t>Kurt Young Insurance Group LLC</t>
  </si>
  <si>
    <t>274973374</t>
  </si>
  <si>
    <t>3171971</t>
  </si>
  <si>
    <t>Joe C Kelley, Jr</t>
  </si>
  <si>
    <t>263191387</t>
  </si>
  <si>
    <t>1100014359786</t>
  </si>
  <si>
    <t>Darla Ringer</t>
  </si>
  <si>
    <t>313084807</t>
  </si>
  <si>
    <t>22556007</t>
  </si>
  <si>
    <t>Dessis Agency</t>
  </si>
  <si>
    <t>022304616</t>
  </si>
  <si>
    <t>216530685</t>
  </si>
  <si>
    <t>Cosaint Benefits</t>
  </si>
  <si>
    <t>061112843</t>
  </si>
  <si>
    <t>2079131609</t>
  </si>
  <si>
    <t>Bob Sorock 4 Health Insurance</t>
  </si>
  <si>
    <t>122101706</t>
  </si>
  <si>
    <t>000845010654</t>
  </si>
  <si>
    <t>PCF Insurance Services of the West, LLC dba Rawson &amp; Associates</t>
  </si>
  <si>
    <t>124001545</t>
  </si>
  <si>
    <t>822937832</t>
  </si>
  <si>
    <t>Black Pearl Benefits</t>
  </si>
  <si>
    <t>092901683</t>
  </si>
  <si>
    <t>107109787</t>
  </si>
  <si>
    <t>Treviso Insurance LLC</t>
  </si>
  <si>
    <t>591270528</t>
  </si>
  <si>
    <t>Kim &amp; CO Agency LLC</t>
  </si>
  <si>
    <t>101019644</t>
  </si>
  <si>
    <t>215691864009</t>
  </si>
  <si>
    <t>Field of Vision LLC</t>
  </si>
  <si>
    <t>111000614</t>
  </si>
  <si>
    <t>465350093</t>
  </si>
  <si>
    <t>Ferger Benefits</t>
  </si>
  <si>
    <t>Josh Murtha Insurance</t>
  </si>
  <si>
    <t>082907273</t>
  </si>
  <si>
    <t>2804358079</t>
  </si>
  <si>
    <t>AEB Benefits LLC</t>
  </si>
  <si>
    <t>081006162</t>
  </si>
  <si>
    <t>152426</t>
  </si>
  <si>
    <t>Keystone Financial Associates, LLC</t>
  </si>
  <si>
    <t>021000021</t>
  </si>
  <si>
    <t>256306168</t>
  </si>
  <si>
    <t>Stentam Employer Services</t>
  </si>
  <si>
    <t>Kathryn Floyd</t>
  </si>
  <si>
    <t>064000017</t>
  </si>
  <si>
    <t>39088065</t>
  </si>
  <si>
    <t>Rhonda Rooney Insurance LLC</t>
  </si>
  <si>
    <t>211174330</t>
  </si>
  <si>
    <t>22601156470</t>
  </si>
  <si>
    <t>Regina Moffett</t>
  </si>
  <si>
    <t>065000090</t>
  </si>
  <si>
    <t>2079716653</t>
  </si>
  <si>
    <t>RFG Capital Management LLC</t>
  </si>
  <si>
    <t>122105278</t>
  </si>
  <si>
    <t>6964601998</t>
  </si>
  <si>
    <t>Frankly Speaking Benefits LLC</t>
  </si>
  <si>
    <t>061000227</t>
  </si>
  <si>
    <t>7906231639</t>
  </si>
  <si>
    <t>Kaneer LLC</t>
  </si>
  <si>
    <t>Secure Heritage Insurance Agency</t>
  </si>
  <si>
    <t>075906702</t>
  </si>
  <si>
    <t>40317471</t>
  </si>
  <si>
    <t>MJN Insurance Services, Inc.</t>
  </si>
  <si>
    <t>869959721</t>
  </si>
  <si>
    <t>The Health Agents LLC</t>
  </si>
  <si>
    <t>111900659</t>
  </si>
  <si>
    <t>2963503582</t>
  </si>
  <si>
    <t>First Health Insurance Solutions</t>
  </si>
  <si>
    <t>577270062</t>
  </si>
  <si>
    <t>Allisons Insurance Solutions</t>
  </si>
  <si>
    <t>936675526</t>
  </si>
  <si>
    <t>Five Points Wealth Strategies</t>
  </si>
  <si>
    <t>021200339</t>
  </si>
  <si>
    <t>381053966438</t>
  </si>
  <si>
    <t>Corbella Insurance</t>
  </si>
  <si>
    <t>1595105899</t>
  </si>
  <si>
    <t>Your Insurance Advocates</t>
  </si>
  <si>
    <t>061092387</t>
  </si>
  <si>
    <t>962187795</t>
  </si>
  <si>
    <t>HB Insurance Solutions</t>
  </si>
  <si>
    <t>457041508185</t>
  </si>
  <si>
    <t>Investments First Inc</t>
  </si>
  <si>
    <t>067005158</t>
  </si>
  <si>
    <t>0101009395</t>
  </si>
  <si>
    <t>Collazo financial group</t>
  </si>
  <si>
    <t>2804680804</t>
  </si>
  <si>
    <t>Crespo Agency LLC</t>
  </si>
  <si>
    <t>222371863</t>
  </si>
  <si>
    <t>1380504702</t>
  </si>
  <si>
    <t>Sterrett DBA Pinnacle Wellness</t>
  </si>
  <si>
    <t>081004601</t>
  </si>
  <si>
    <t>129386002</t>
  </si>
  <si>
    <t>Enialed Inc DBA Frank Henry Insurance Services</t>
  </si>
  <si>
    <t>324173626</t>
  </si>
  <si>
    <t>749170163</t>
  </si>
  <si>
    <t>Rise to stars LLC</t>
  </si>
  <si>
    <t>6688889895</t>
  </si>
  <si>
    <t>John Fidelo</t>
  </si>
  <si>
    <t>0383314002</t>
  </si>
  <si>
    <t>CCIG</t>
  </si>
  <si>
    <t>Koda Insurance Group</t>
  </si>
  <si>
    <t>Cole Financial</t>
  </si>
  <si>
    <t>Bkh Holdings Inc</t>
  </si>
  <si>
    <t>GBS Inc</t>
  </si>
  <si>
    <t>Steele Financial Group</t>
  </si>
  <si>
    <t>061202672</t>
  </si>
  <si>
    <t>131157062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</si>
</sst>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&quot;$&quot;#,##0.00"/>
    <numFmt numFmtId="166" formatCode="mm/dd/yyyy"/>
  </numFmts>
  <fonts count="7" x14ac:knownFonts="1">
    <font>
      <sz val="10"/>
      <color rgb="FF000000"/>
      <name val="Arial"/>
      <scheme val="minor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165" fontId="4" fillId="0" borderId="1" xfId="0" applyNumberFormat="1" applyFont="1" applyBorder="1" applyAlignment="1">
      <alignment horizontal="center" wrapText="1"/>
    </xf>
    <xf numFmtId="0" fontId="5" fillId="0" borderId="0" xfId="0" applyFont="1"/>
    <xf numFmtId="49" fontId="5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49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coshared.co/" TargetMode="External"/><Relationship Id="rId1" Type="http://schemas.openxmlformats.org/officeDocument/2006/relationships/hyperlink" Target="http://enhancemybenefit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57"/>
  <sheetViews>
    <sheetView tabSelected="1" workbookViewId="0">
      <selection activeCell="H3" sqref="H3"/>
    </sheetView>
  </sheetViews>
  <sheetFormatPr defaultColWidth="12.5703125" defaultRowHeight="15.75" customHeight="1" x14ac:dyDescent="0.2"/>
  <cols>
    <col min="1" max="1" width="19.140625" customWidth="1"/>
    <col min="2" max="2" width="38.5703125" customWidth="1"/>
    <col min="3" max="3" width="18.28515625" customWidth="1"/>
    <col min="4" max="4" width="13" customWidth="1"/>
    <col min="5" max="5" width="20" customWidth="1"/>
  </cols>
  <sheetData>
    <row r="1" spans="1:14" ht="15.75" customHeight="1" x14ac:dyDescent="0.25">
      <c r="A1" s="1" t="s">
        <v>0</v>
      </c>
      <c r="B1" s="1" t="s">
        <v>1</v>
      </c>
      <c r="C1" s="9" t="s">
        <v>2</v>
      </c>
      <c r="D1" s="9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14" ht="15.75" customHeight="1" x14ac:dyDescent="0.2">
      <c r="A2" s="4">
        <v>19073032265</v>
      </c>
      <c r="B2" s="4" t="s">
        <v>8</v>
      </c>
      <c r="C2" s="5" t="str">
        <f ca="1">IFERROR(__xludf.DUMMYFUNCTION("VLOOKUP(A2,IMPORTRANGE(""https://docs.google.com/spreadsheets/d/1YTzKr_K5JRaPNV_4z6w8eq_6U9Z-8UIZfBG8lUnhgpg/edit?usp=sharing"",""Agencies With Number of Deals A!A:K""),10,0)"),"111102758")</f>
        <v>111102758</v>
      </c>
      <c r="D2" s="5" t="str">
        <f ca="1">IFERROR(__xludf.DUMMYFUNCTION("VLOOKUP(A2,IMPORTRANGE(""https://docs.google.com/spreadsheets/d/1YTzKr_K5JRaPNV_4z6w8eq_6U9Z-8UIZfBG8lUnhgpg/edit?usp=sharing"",""Agencies With Number of Deals A!A:K""),9,0)"),"295415680")</f>
        <v>295415680</v>
      </c>
      <c r="E2" s="4" t="s">
        <v>9</v>
      </c>
      <c r="F2" s="6">
        <v>46037</v>
      </c>
      <c r="G2" s="4" t="s">
        <v>10</v>
      </c>
      <c r="H2" s="7">
        <v>13288.4</v>
      </c>
      <c r="N2" s="7"/>
    </row>
    <row r="3" spans="1:14" ht="15.75" customHeight="1" x14ac:dyDescent="0.2">
      <c r="A3" s="4">
        <v>16924237241</v>
      </c>
      <c r="B3" s="4" t="s">
        <v>11</v>
      </c>
      <c r="C3" s="4" t="s">
        <v>12</v>
      </c>
      <c r="D3" s="4" t="s">
        <v>13</v>
      </c>
      <c r="E3" s="4" t="s">
        <v>9</v>
      </c>
      <c r="F3" s="6">
        <v>46037</v>
      </c>
      <c r="G3" s="4" t="s">
        <v>10</v>
      </c>
      <c r="H3" s="7">
        <v>28194.720000000001</v>
      </c>
      <c r="N3" s="7"/>
    </row>
    <row r="4" spans="1:14" ht="15.75" customHeight="1" x14ac:dyDescent="0.2">
      <c r="A4" s="4">
        <v>16579289412</v>
      </c>
      <c r="B4" s="4" t="s">
        <v>14</v>
      </c>
      <c r="C4" s="5" t="str">
        <f ca="1">IFERROR(__xludf.DUMMYFUNCTION("VLOOKUP(A4,IMPORTRANGE(""https://docs.google.com/spreadsheets/d/1YTzKr_K5JRaPNV_4z6w8eq_6U9Z-8UIZfBG8lUnhgpg/edit?usp=sharing"",""Agencies With Number of Deals A!A:K""),10,0)"),"111900659")</f>
        <v>111900659</v>
      </c>
      <c r="D4" s="5" t="str">
        <f ca="1">IFERROR(__xludf.DUMMYFUNCTION("VLOOKUP(A4,IMPORTRANGE(""https://docs.google.com/spreadsheets/d/1YTzKr_K5JRaPNV_4z6w8eq_6U9Z-8UIZfBG8lUnhgpg/edit?usp=sharing"",""Agencies With Number of Deals A!A:K""),9,0)"),"1800239145")</f>
        <v>1800239145</v>
      </c>
      <c r="E4" s="4" t="s">
        <v>9</v>
      </c>
      <c r="F4" s="6">
        <v>46037</v>
      </c>
      <c r="G4" s="4" t="s">
        <v>10</v>
      </c>
      <c r="H4" s="7">
        <v>1891.0840000000001</v>
      </c>
      <c r="N4" s="7"/>
    </row>
    <row r="5" spans="1:14" ht="15.75" customHeight="1" x14ac:dyDescent="0.2">
      <c r="A5" s="4">
        <v>655590147</v>
      </c>
      <c r="B5" s="4" t="s">
        <v>15</v>
      </c>
      <c r="C5" s="5" t="str">
        <f ca="1">IFERROR(__xludf.DUMMYFUNCTION("VLOOKUP(A5,IMPORTRANGE(""https://docs.google.com/spreadsheets/d/1YTzKr_K5JRaPNV_4z6w8eq_6U9Z-8UIZfBG8lUnhgpg/edit?usp=sharing"",""Agencies With Number of Deals A!A:K""),10,0)"),"122105278")</f>
        <v>122105278</v>
      </c>
      <c r="D5" s="5" t="str">
        <f ca="1">IFERROR(__xludf.DUMMYFUNCTION("VLOOKUP(A5,IMPORTRANGE(""https://docs.google.com/spreadsheets/d/1YTzKr_K5JRaPNV_4z6w8eq_6U9Z-8UIZfBG8lUnhgpg/edit?usp=sharing"",""Agencies With Number of Deals A!A:K""),9,0)"),"7106941680")</f>
        <v>7106941680</v>
      </c>
      <c r="E5" s="4" t="s">
        <v>9</v>
      </c>
      <c r="F5" s="6">
        <v>46037</v>
      </c>
      <c r="G5" s="4" t="s">
        <v>10</v>
      </c>
      <c r="H5" s="7">
        <v>621.32799999999997</v>
      </c>
      <c r="N5" s="7"/>
    </row>
    <row r="6" spans="1:14" ht="15.75" customHeight="1" x14ac:dyDescent="0.2">
      <c r="A6" s="4">
        <v>655583435</v>
      </c>
      <c r="B6" s="4" t="s">
        <v>16</v>
      </c>
      <c r="C6" s="5" t="str">
        <f ca="1">IFERROR(__xludf.DUMMYFUNCTION("VLOOKUP(A6,IMPORTRANGE(""https://docs.google.com/spreadsheets/d/1YTzKr_K5JRaPNV_4z6w8eq_6U9Z-8UIZfBG8lUnhgpg/edit?usp=sharing"",""Agencies With Number of Deals A!A:K""),10,0)"),"122105278")</f>
        <v>122105278</v>
      </c>
      <c r="D6" s="5" t="str">
        <f ca="1">IFERROR(__xludf.DUMMYFUNCTION("VLOOKUP(A6,IMPORTRANGE(""https://docs.google.com/spreadsheets/d/1YTzKr_K5JRaPNV_4z6w8eq_6U9Z-8UIZfBG8lUnhgpg/edit?usp=sharing"",""Agencies With Number of Deals A!A:K""),9,0)"),"817485816")</f>
        <v>817485816</v>
      </c>
      <c r="E6" s="4" t="s">
        <v>9</v>
      </c>
      <c r="F6" s="6">
        <v>46037</v>
      </c>
      <c r="G6" s="4" t="s">
        <v>10</v>
      </c>
      <c r="H6" s="7">
        <v>3985.4679999999998</v>
      </c>
    </row>
    <row r="7" spans="1:14" ht="15.75" customHeight="1" x14ac:dyDescent="0.2">
      <c r="A7" s="4">
        <v>16158486110</v>
      </c>
      <c r="B7" s="4" t="s">
        <v>17</v>
      </c>
      <c r="C7" s="5" t="str">
        <f ca="1">IFERROR(__xludf.DUMMYFUNCTION("VLOOKUP(A7,IMPORTRANGE(""https://docs.google.com/spreadsheets/d/1YTzKr_K5JRaPNV_4z6w8eq_6U9Z-8UIZfBG8lUnhgpg/edit?usp=sharing"",""Agencies With Number of Deals A!A:K""),10,0)"),"111000025")</f>
        <v>111000025</v>
      </c>
      <c r="D7" s="5" t="str">
        <f ca="1">IFERROR(__xludf.DUMMYFUNCTION("VLOOKUP(A7,IMPORTRANGE(""https://docs.google.com/spreadsheets/d/1YTzKr_K5JRaPNV_4z6w8eq_6U9Z-8UIZfBG8lUnhgpg/edit?usp=sharing"",""Agencies With Number of Deals A!A:K""),9,0)"),"488092175701")</f>
        <v>488092175701</v>
      </c>
      <c r="E7" s="4" t="s">
        <v>9</v>
      </c>
      <c r="F7" s="6">
        <v>46037</v>
      </c>
      <c r="G7" s="4" t="s">
        <v>10</v>
      </c>
      <c r="H7" s="7">
        <v>2434.89</v>
      </c>
    </row>
    <row r="8" spans="1:14" ht="15.75" customHeight="1" x14ac:dyDescent="0.2">
      <c r="A8" s="4">
        <v>16668735109</v>
      </c>
      <c r="B8" s="4" t="s">
        <v>18</v>
      </c>
      <c r="C8" s="5" t="str">
        <f ca="1">IFERROR(__xludf.DUMMYFUNCTION("VLOOKUP(A8,IMPORTRANGE(""https://docs.google.com/spreadsheets/d/1YTzKr_K5JRaPNV_4z6w8eq_6U9Z-8UIZfBG8lUnhgpg/edit?usp=sharing"",""Agencies With Number of Deals A!A:K""),10,0)"),"111000614")</f>
        <v>111000614</v>
      </c>
      <c r="D8" s="5" t="str">
        <f ca="1">IFERROR(__xludf.DUMMYFUNCTION("VLOOKUP(A8,IMPORTRANGE(""https://docs.google.com/spreadsheets/d/1YTzKr_K5JRaPNV_4z6w8eq_6U9Z-8UIZfBG8lUnhgpg/edit?usp=sharing"",""Agencies With Number of Deals A!A:K""),9,0)"),"611238828")</f>
        <v>611238828</v>
      </c>
      <c r="E8" s="4" t="s">
        <v>9</v>
      </c>
      <c r="F8" s="6">
        <v>46037</v>
      </c>
      <c r="G8" s="4" t="s">
        <v>10</v>
      </c>
      <c r="H8" s="7">
        <v>1734.95</v>
      </c>
    </row>
    <row r="9" spans="1:14" ht="15.75" customHeight="1" x14ac:dyDescent="0.2">
      <c r="A9" s="4">
        <v>6958356880</v>
      </c>
      <c r="B9" s="4" t="s">
        <v>19</v>
      </c>
      <c r="C9" s="4" t="s">
        <v>20</v>
      </c>
      <c r="D9" s="4" t="s">
        <v>21</v>
      </c>
      <c r="E9" s="4" t="s">
        <v>9</v>
      </c>
      <c r="F9" s="6">
        <v>46037</v>
      </c>
      <c r="G9" s="4" t="s">
        <v>10</v>
      </c>
      <c r="H9" s="7">
        <v>7957.66</v>
      </c>
    </row>
    <row r="10" spans="1:14" ht="15.75" customHeight="1" x14ac:dyDescent="0.2">
      <c r="A10" s="4">
        <v>15980828774</v>
      </c>
      <c r="B10" s="4" t="s">
        <v>22</v>
      </c>
      <c r="C10" s="5" t="str">
        <f ca="1">IFERROR(__xludf.DUMMYFUNCTION("VLOOKUP(A10,IMPORTRANGE(""https://docs.google.com/spreadsheets/d/1YTzKr_K5JRaPNV_4z6w8eq_6U9Z-8UIZfBG8lUnhgpg/edit?usp=sharing"",""Agencies With Number of Deals A!A:K""),10,0)"),"111000614")</f>
        <v>111000614</v>
      </c>
      <c r="D10" s="5" t="str">
        <f ca="1">IFERROR(__xludf.DUMMYFUNCTION("VLOOKUP(A10,IMPORTRANGE(""https://docs.google.com/spreadsheets/d/1YTzKr_K5JRaPNV_4z6w8eq_6U9Z-8UIZfBG8lUnhgpg/edit?usp=sharing"",""Agencies With Number of Deals A!A:K""),9,0)"),"805359879")</f>
        <v>805359879</v>
      </c>
      <c r="E10" s="4" t="s">
        <v>9</v>
      </c>
      <c r="F10" s="6">
        <v>46037</v>
      </c>
      <c r="G10" s="4" t="s">
        <v>10</v>
      </c>
      <c r="H10" s="7">
        <v>640.38</v>
      </c>
    </row>
    <row r="11" spans="1:14" ht="15.75" customHeight="1" x14ac:dyDescent="0.2">
      <c r="A11" s="4">
        <v>692765750</v>
      </c>
      <c r="B11" s="4" t="s">
        <v>23</v>
      </c>
      <c r="C11" s="5" t="str">
        <f ca="1">IFERROR(__xludf.DUMMYFUNCTION("VLOOKUP(A11,IMPORTRANGE(""https://docs.google.com/spreadsheets/d/1YTzKr_K5JRaPNV_4z6w8eq_6U9Z-8UIZfBG8lUnhgpg/edit?usp=sharing"",""Agencies With Number of Deals A!A:K""),10,0)"),"261170533")</f>
        <v>261170533</v>
      </c>
      <c r="D11" s="5" t="str">
        <f ca="1">IFERROR(__xludf.DUMMYFUNCTION("VLOOKUP(A11,IMPORTRANGE(""https://docs.google.com/spreadsheets/d/1YTzKr_K5JRaPNV_4z6w8eq_6U9Z-8UIZfBG8lUnhgpg/edit?usp=sharing"",""Agencies With Number of Deals A!A:K""),9,0)"),"69053173")</f>
        <v>69053173</v>
      </c>
      <c r="E11" s="4" t="s">
        <v>9</v>
      </c>
      <c r="F11" s="6">
        <v>46037</v>
      </c>
      <c r="G11" s="4" t="s">
        <v>10</v>
      </c>
      <c r="H11" s="7">
        <v>31312.620000000003</v>
      </c>
    </row>
    <row r="12" spans="1:14" ht="15.75" customHeight="1" x14ac:dyDescent="0.2">
      <c r="A12" s="4">
        <v>15980905310</v>
      </c>
      <c r="B12" s="4" t="s">
        <v>24</v>
      </c>
      <c r="C12" s="5" t="str">
        <f ca="1">IFERROR(__xludf.DUMMYFUNCTION("VLOOKUP(A12,IMPORTRANGE(""https://docs.google.com/spreadsheets/d/1YTzKr_K5JRaPNV_4z6w8eq_6U9Z-8UIZfBG8lUnhgpg/edit?usp=sharing"",""Agencies With Number of Deals A!A:K""),10,0)"),"124001545")</f>
        <v>124001545</v>
      </c>
      <c r="D12" s="5" t="str">
        <f ca="1">IFERROR(__xludf.DUMMYFUNCTION("VLOOKUP(A12,IMPORTRANGE(""https://docs.google.com/spreadsheets/d/1YTzKr_K5JRaPNV_4z6w8eq_6U9Z-8UIZfBG8lUnhgpg/edit?usp=sharing"",""Agencies With Number of Deals A!A:K""),9,0)"),"737678919")</f>
        <v>737678919</v>
      </c>
      <c r="E12" s="4" t="s">
        <v>9</v>
      </c>
      <c r="F12" s="6">
        <v>46037</v>
      </c>
      <c r="G12" s="4" t="s">
        <v>10</v>
      </c>
      <c r="H12" s="7">
        <v>686.12</v>
      </c>
    </row>
    <row r="13" spans="1:14" ht="15.75" customHeight="1" x14ac:dyDescent="0.2">
      <c r="A13" s="4">
        <v>6916275616</v>
      </c>
      <c r="B13" s="4" t="s">
        <v>25</v>
      </c>
      <c r="C13" s="5" t="str">
        <f ca="1">IFERROR(__xludf.DUMMYFUNCTION("VLOOKUP(A13,IMPORTRANGE(""https://docs.google.com/spreadsheets/d/1YTzKr_K5JRaPNV_4z6w8eq_6U9Z-8UIZfBG8lUnhgpg/edit?usp=sharing"",""Agencies With Number of Deals A!A:K""),10,0)"),"322271627")</f>
        <v>322271627</v>
      </c>
      <c r="D13" s="5" t="str">
        <f ca="1">IFERROR(__xludf.DUMMYFUNCTION("VLOOKUP(A13,IMPORTRANGE(""https://docs.google.com/spreadsheets/d/1YTzKr_K5JRaPNV_4z6w8eq_6U9Z-8UIZfBG8lUnhgpg/edit?usp=sharing"",""Agencies With Number of Deals A!A:K""),9,0)"),"705330556")</f>
        <v>705330556</v>
      </c>
      <c r="E13" s="4" t="s">
        <v>9</v>
      </c>
      <c r="F13" s="6">
        <v>46037</v>
      </c>
      <c r="G13" s="4" t="s">
        <v>10</v>
      </c>
      <c r="H13" s="7">
        <v>72.400000000000006</v>
      </c>
    </row>
    <row r="14" spans="1:14" ht="15.75" customHeight="1" x14ac:dyDescent="0.2">
      <c r="A14" s="4">
        <v>8717005980</v>
      </c>
      <c r="B14" s="4" t="s">
        <v>26</v>
      </c>
      <c r="C14" s="5" t="str">
        <f ca="1">IFERROR(__xludf.DUMMYFUNCTION("VLOOKUP(A14,IMPORTRANGE(""https://docs.google.com/spreadsheets/d/1YTzKr_K5JRaPNV_4z6w8eq_6U9Z-8UIZfBG8lUnhgpg/edit?usp=sharing"",""Agencies With Number of Deals A!A:K""),10,0)"),"092905443")</f>
        <v>092905443</v>
      </c>
      <c r="D14" s="5" t="str">
        <f ca="1">IFERROR(__xludf.DUMMYFUNCTION("VLOOKUP(A14,IMPORTRANGE(""https://docs.google.com/spreadsheets/d/1YTzKr_K5JRaPNV_4z6w8eq_6U9Z-8UIZfBG8lUnhgpg/edit?usp=sharing"",""Agencies With Number of Deals A!A:K""),9,0)"),"1050008984")</f>
        <v>1050008984</v>
      </c>
      <c r="E14" s="4" t="s">
        <v>9</v>
      </c>
      <c r="F14" s="6">
        <v>46037</v>
      </c>
      <c r="G14" s="4" t="s">
        <v>10</v>
      </c>
      <c r="H14" s="7">
        <v>2343.52</v>
      </c>
    </row>
    <row r="15" spans="1:14" ht="15.75" customHeight="1" x14ac:dyDescent="0.2">
      <c r="A15" s="4">
        <v>15981059877</v>
      </c>
      <c r="B15" s="4" t="s">
        <v>27</v>
      </c>
      <c r="C15" s="5" t="str">
        <f ca="1">IFERROR(__xludf.DUMMYFUNCTION("VLOOKUP(A15,IMPORTRANGE(""https://docs.google.com/spreadsheets/d/1YTzKr_K5JRaPNV_4z6w8eq_6U9Z-8UIZfBG8lUnhgpg/edit?usp=sharing"",""Agencies With Number of Deals A!A:K""),10,0)"),"031308302")</f>
        <v>031308302</v>
      </c>
      <c r="D15" s="5" t="str">
        <f ca="1">IFERROR(__xludf.DUMMYFUNCTION("VLOOKUP(A15,IMPORTRANGE(""https://docs.google.com/spreadsheets/d/1YTzKr_K5JRaPNV_4z6w8eq_6U9Z-8UIZfBG8lUnhgpg/edit?usp=sharing"",""Agencies With Number of Deals A!A:K""),9,0)"),"88411592")</f>
        <v>88411592</v>
      </c>
      <c r="E15" s="4" t="s">
        <v>9</v>
      </c>
      <c r="F15" s="6">
        <v>46037</v>
      </c>
      <c r="G15" s="4" t="s">
        <v>10</v>
      </c>
      <c r="H15" s="7">
        <v>2313.7199999999998</v>
      </c>
    </row>
    <row r="16" spans="1:14" ht="15.75" customHeight="1" x14ac:dyDescent="0.2">
      <c r="A16" s="4">
        <v>16085975982</v>
      </c>
      <c r="B16" s="4" t="s">
        <v>28</v>
      </c>
      <c r="C16" s="5" t="str">
        <f ca="1">IFERROR(__xludf.DUMMYFUNCTION("VLOOKUP(A16,IMPORTRANGE(""https://docs.google.com/spreadsheets/d/1YTzKr_K5JRaPNV_4z6w8eq_6U9Z-8UIZfBG8lUnhgpg/edit?usp=sharing"",""Agencies With Number of Deals A!A:K""),10,0)"),"267084131")</f>
        <v>267084131</v>
      </c>
      <c r="D16" s="5" t="str">
        <f ca="1">IFERROR(__xludf.DUMMYFUNCTION("VLOOKUP(A16,IMPORTRANGE(""https://docs.google.com/spreadsheets/d/1YTzKr_K5JRaPNV_4z6w8eq_6U9Z-8UIZfBG8lUnhgpg/edit?usp=sharing"",""Agencies With Number of Deals A!A:K""),9,0)"),"286597072")</f>
        <v>286597072</v>
      </c>
      <c r="E16" s="4" t="s">
        <v>9</v>
      </c>
      <c r="F16" s="6">
        <v>46037</v>
      </c>
      <c r="G16" s="4" t="s">
        <v>10</v>
      </c>
      <c r="H16" s="7">
        <v>878.76</v>
      </c>
    </row>
    <row r="17" spans="1:8" ht="15.75" customHeight="1" x14ac:dyDescent="0.2">
      <c r="A17" s="4">
        <v>26136287282</v>
      </c>
      <c r="B17" s="4" t="s">
        <v>29</v>
      </c>
      <c r="C17" s="5" t="str">
        <f ca="1">IFERROR(__xludf.DUMMYFUNCTION("VLOOKUP(A17,IMPORTRANGE(""https://docs.google.com/spreadsheets/d/1YTzKr_K5JRaPNV_4z6w8eq_6U9Z-8UIZfBG8lUnhgpg/edit?usp=sharing"",""Agencies With Number of Deals A!A:K""),10,0)"),"121145349")</f>
        <v>121145349</v>
      </c>
      <c r="D17" s="5" t="str">
        <f ca="1">IFERROR(__xludf.DUMMYFUNCTION("VLOOKUP(A17,IMPORTRANGE(""https://docs.google.com/spreadsheets/d/1YTzKr_K5JRaPNV_4z6w8eq_6U9Z-8UIZfBG8lUnhgpg/edit?usp=sharing"",""Agencies With Number of Deals A!A:K""),9,0)"),"884141429782253")</f>
        <v>884141429782253</v>
      </c>
      <c r="E17" s="4" t="s">
        <v>9</v>
      </c>
      <c r="F17" s="6">
        <v>46037</v>
      </c>
      <c r="G17" s="4" t="s">
        <v>10</v>
      </c>
      <c r="H17" s="7">
        <v>83.92</v>
      </c>
    </row>
    <row r="18" spans="1:8" ht="15.75" customHeight="1" x14ac:dyDescent="0.2">
      <c r="A18" s="4">
        <v>7072565159</v>
      </c>
      <c r="B18" s="4" t="s">
        <v>30</v>
      </c>
      <c r="C18" s="5" t="str">
        <f ca="1">IFERROR(__xludf.DUMMYFUNCTION("VLOOKUP(A18,IMPORTRANGE(""https://docs.google.com/spreadsheets/d/1YTzKr_K5JRaPNV_4z6w8eq_6U9Z-8UIZfBG8lUnhgpg/edit?usp=sharing"",""Agencies With Number of Deals A!A:K""),10,0)"),"111321814")</f>
        <v>111321814</v>
      </c>
      <c r="D18" s="5" t="str">
        <f ca="1">IFERROR(__xludf.DUMMYFUNCTION("VLOOKUP(A18,IMPORTRANGE(""https://docs.google.com/spreadsheets/d/1YTzKr_K5JRaPNV_4z6w8eq_6U9Z-8UIZfBG8lUnhgpg/edit?usp=sharing"",""Agencies With Number of Deals A!A:K""),9,0)"),"100764728")</f>
        <v>100764728</v>
      </c>
      <c r="E18" s="4" t="s">
        <v>9</v>
      </c>
      <c r="F18" s="6">
        <v>46037</v>
      </c>
      <c r="G18" s="4" t="s">
        <v>10</v>
      </c>
      <c r="H18" s="7">
        <v>1829.06</v>
      </c>
    </row>
    <row r="19" spans="1:8" ht="15.75" customHeight="1" x14ac:dyDescent="0.2">
      <c r="A19" s="4">
        <v>1041398639</v>
      </c>
      <c r="B19" s="4" t="s">
        <v>31</v>
      </c>
      <c r="C19" s="5" t="str">
        <f ca="1">IFERROR(__xludf.DUMMYFUNCTION("VLOOKUP(A19,IMPORTRANGE(""https://docs.google.com/spreadsheets/d/1YTzKr_K5JRaPNV_4z6w8eq_6U9Z-8UIZfBG8lUnhgpg/edit?usp=sharing"",""Agencies With Number of Deals A!A:K""),10,0)"),"072000326")</f>
        <v>072000326</v>
      </c>
      <c r="D19" s="5" t="str">
        <f ca="1">IFERROR(__xludf.DUMMYFUNCTION("VLOOKUP(A19,IMPORTRANGE(""https://docs.google.com/spreadsheets/d/1YTzKr_K5JRaPNV_4z6w8eq_6U9Z-8UIZfBG8lUnhgpg/edit?usp=sharing"",""Agencies With Number of Deals A!A:K""),9,0)"),"428318948")</f>
        <v>428318948</v>
      </c>
      <c r="E19" s="4" t="s">
        <v>9</v>
      </c>
      <c r="F19" s="6">
        <v>46037</v>
      </c>
      <c r="G19" s="4" t="s">
        <v>10</v>
      </c>
      <c r="H19" s="7">
        <v>1169.76</v>
      </c>
    </row>
    <row r="20" spans="1:8" ht="15.75" customHeight="1" x14ac:dyDescent="0.2">
      <c r="A20" s="4">
        <v>16753120066</v>
      </c>
      <c r="B20" s="4" t="s">
        <v>32</v>
      </c>
      <c r="C20" s="5" t="str">
        <f ca="1">IFERROR(__xludf.DUMMYFUNCTION("VLOOKUP(A20,IMPORTRANGE(""https://docs.google.com/spreadsheets/d/1YTzKr_K5JRaPNV_4z6w8eq_6U9Z-8UIZfBG8lUnhgpg/edit?usp=sharing"",""Agencies With Number of Deals A!A:K""),10,0)"),"063000047")</f>
        <v>063000047</v>
      </c>
      <c r="D20" s="5" t="str">
        <f ca="1">IFERROR(__xludf.DUMMYFUNCTION("VLOOKUP(A20,IMPORTRANGE(""https://docs.google.com/spreadsheets/d/1YTzKr_K5JRaPNV_4z6w8eq_6U9Z-8UIZfBG8lUnhgpg/edit?usp=sharing"",""Agencies With Number of Deals A!A:K""),9,0)"),"005568051211")</f>
        <v>005568051211</v>
      </c>
      <c r="E20" s="4" t="s">
        <v>9</v>
      </c>
      <c r="F20" s="6">
        <v>46037</v>
      </c>
      <c r="G20" s="4" t="s">
        <v>10</v>
      </c>
      <c r="H20" s="7">
        <v>970.14</v>
      </c>
    </row>
    <row r="21" spans="1:8" ht="15.75" customHeight="1" x14ac:dyDescent="0.2">
      <c r="A21" s="4">
        <v>6527339816</v>
      </c>
      <c r="B21" s="4" t="s">
        <v>33</v>
      </c>
      <c r="C21" s="5" t="str">
        <f ca="1">IFERROR(__xludf.DUMMYFUNCTION("VLOOKUP(A21,IMPORTRANGE(""https://docs.google.com/spreadsheets/d/1YTzKr_K5JRaPNV_4z6w8eq_6U9Z-8UIZfBG8lUnhgpg/edit?usp=sharing"",""Agencies With Number of Deals A!A:K""),10,0)"),"124001545")</f>
        <v>124001545</v>
      </c>
      <c r="D21" s="5" t="str">
        <f ca="1">IFERROR(__xludf.DUMMYFUNCTION("VLOOKUP(A21,IMPORTRANGE(""https://docs.google.com/spreadsheets/d/1YTzKr_K5JRaPNV_4z6w8eq_6U9Z-8UIZfBG8lUnhgpg/edit?usp=sharing"",""Agencies With Number of Deals A!A:K""),9,0)"),"635911362")</f>
        <v>635911362</v>
      </c>
      <c r="E21" s="4" t="s">
        <v>9</v>
      </c>
      <c r="F21" s="6">
        <v>46037</v>
      </c>
      <c r="G21" s="4" t="s">
        <v>10</v>
      </c>
      <c r="H21" s="7">
        <v>366.06</v>
      </c>
    </row>
    <row r="22" spans="1:8" ht="15.75" customHeight="1" x14ac:dyDescent="0.2">
      <c r="A22" s="4">
        <v>2505256685</v>
      </c>
      <c r="B22" s="4" t="s">
        <v>34</v>
      </c>
      <c r="C22" s="5" t="str">
        <f ca="1">IFERROR(__xludf.DUMMYFUNCTION("VLOOKUP(A22,IMPORTRANGE(""https://docs.google.com/spreadsheets/d/1YTzKr_K5JRaPNV_4z6w8eq_6U9Z-8UIZfBG8lUnhgpg/edit?usp=sharing"",""Agencies With Number of Deals A!A:K""),10,0)"),"314074269")</f>
        <v>314074269</v>
      </c>
      <c r="D22" s="5" t="str">
        <f ca="1">IFERROR(__xludf.DUMMYFUNCTION("VLOOKUP(A22,IMPORTRANGE(""https://docs.google.com/spreadsheets/d/1YTzKr_K5JRaPNV_4z6w8eq_6U9Z-8UIZfBG8lUnhgpg/edit?usp=sharing"",""Agencies With Number of Deals A!A:K""),9,0)"),"49303058")</f>
        <v>49303058</v>
      </c>
      <c r="E22" s="4" t="s">
        <v>9</v>
      </c>
      <c r="F22" s="6">
        <v>46037</v>
      </c>
      <c r="G22" s="4" t="s">
        <v>10</v>
      </c>
      <c r="H22" s="7">
        <v>1977.18</v>
      </c>
    </row>
    <row r="23" spans="1:8" ht="15.75" customHeight="1" x14ac:dyDescent="0.2">
      <c r="A23" s="4">
        <v>655426692</v>
      </c>
      <c r="B23" s="4" t="s">
        <v>35</v>
      </c>
      <c r="C23" s="4" t="s">
        <v>12</v>
      </c>
      <c r="D23" s="4" t="s">
        <v>36</v>
      </c>
      <c r="E23" s="4" t="s">
        <v>9</v>
      </c>
      <c r="F23" s="6">
        <v>46037</v>
      </c>
      <c r="G23" s="4" t="s">
        <v>10</v>
      </c>
      <c r="H23" s="7">
        <v>2246.44</v>
      </c>
    </row>
    <row r="24" spans="1:8" ht="12.75" x14ac:dyDescent="0.2">
      <c r="A24" s="4">
        <v>21691389469</v>
      </c>
      <c r="B24" s="4" t="s">
        <v>37</v>
      </c>
      <c r="C24" s="5" t="str">
        <f ca="1">IFERROR(__xludf.DUMMYFUNCTION("VLOOKUP(A24,IMPORTRANGE(""https://docs.google.com/spreadsheets/d/1YTzKr_K5JRaPNV_4z6w8eq_6U9Z-8UIZfBG8lUnhgpg/edit?usp=sharing"",""Agencies With Number of Deals A!A:K""),10,0)"),"075907594")</f>
        <v>075907594</v>
      </c>
      <c r="D24" s="5" t="str">
        <f ca="1">IFERROR(__xludf.DUMMYFUNCTION("VLOOKUP(A24,IMPORTRANGE(""https://docs.google.com/spreadsheets/d/1YTzKr_K5JRaPNV_4z6w8eq_6U9Z-8UIZfBG8lUnhgpg/edit?usp=sharing"",""Agencies With Number of Deals A!A:K""),9,0)"),"17525175")</f>
        <v>17525175</v>
      </c>
      <c r="E24" s="4" t="s">
        <v>9</v>
      </c>
      <c r="F24" s="6">
        <v>46037</v>
      </c>
      <c r="G24" s="4" t="s">
        <v>10</v>
      </c>
      <c r="H24" s="7">
        <v>506.76</v>
      </c>
    </row>
    <row r="25" spans="1:8" ht="12.75" x14ac:dyDescent="0.2">
      <c r="A25" s="4">
        <v>40122670740</v>
      </c>
      <c r="B25" s="4" t="s">
        <v>38</v>
      </c>
      <c r="C25" s="5" t="str">
        <f ca="1">IFERROR(__xludf.DUMMYFUNCTION("VLOOKUP(A25,IMPORTRANGE(""https://docs.google.com/spreadsheets/d/1YTzKr_K5JRaPNV_4z6w8eq_6U9Z-8UIZfBG8lUnhgpg/edit?usp=sharing"",""Agencies With Number of Deals A!A:K""),10,0)"),"071923284")</f>
        <v>071923284</v>
      </c>
      <c r="D25" s="5" t="str">
        <f ca="1">IFERROR(__xludf.DUMMYFUNCTION("VLOOKUP(A25,IMPORTRANGE(""https://docs.google.com/spreadsheets/d/1YTzKr_K5JRaPNV_4z6w8eq_6U9Z-8UIZfBG8lUnhgpg/edit?usp=sharing"",""Agencies With Number of Deals A!A:K""),9,0)"),"8765117228")</f>
        <v>8765117228</v>
      </c>
      <c r="E25" s="4" t="s">
        <v>9</v>
      </c>
      <c r="F25" s="6">
        <v>46037</v>
      </c>
      <c r="G25" s="4" t="s">
        <v>10</v>
      </c>
      <c r="H25" s="7">
        <v>128.69999999999999</v>
      </c>
    </row>
    <row r="26" spans="1:8" ht="12.75" x14ac:dyDescent="0.2">
      <c r="A26" s="4">
        <v>35059242269</v>
      </c>
      <c r="B26" s="4" t="s">
        <v>39</v>
      </c>
      <c r="C26" s="5" t="str">
        <f ca="1">IFERROR(__xludf.DUMMYFUNCTION("VLOOKUP(A26,IMPORTRANGE(""https://docs.google.com/spreadsheets/d/1YTzKr_K5JRaPNV_4z6w8eq_6U9Z-8UIZfBG8lUnhgpg/edit?usp=sharing"",""Agencies With Number of Deals A!A:K""),10,0)"),"072413845")</f>
        <v>072413845</v>
      </c>
      <c r="D26" s="5" t="str">
        <f ca="1">IFERROR(__xludf.DUMMYFUNCTION("VLOOKUP(A26,IMPORTRANGE(""https://docs.google.com/spreadsheets/d/1YTzKr_K5JRaPNV_4z6w8eq_6U9Z-8UIZfBG8lUnhgpg/edit?usp=sharing"",""Agencies With Number of Deals A!A:K""),9,0)"),"152001543")</f>
        <v>152001543</v>
      </c>
      <c r="E26" s="4" t="s">
        <v>9</v>
      </c>
      <c r="F26" s="6">
        <v>46037</v>
      </c>
      <c r="G26" s="4" t="s">
        <v>10</v>
      </c>
      <c r="H26" s="7">
        <v>170.04</v>
      </c>
    </row>
    <row r="27" spans="1:8" ht="12.75" x14ac:dyDescent="0.2">
      <c r="A27" s="4">
        <v>18595318341</v>
      </c>
      <c r="B27" s="4" t="s">
        <v>40</v>
      </c>
      <c r="C27" s="5" t="str">
        <f ca="1">IFERROR(__xludf.DUMMYFUNCTION("VLOOKUP(A27,IMPORTRANGE(""https://docs.google.com/spreadsheets/d/1YTzKr_K5JRaPNV_4z6w8eq_6U9Z-8UIZfBG8lUnhgpg/edit?usp=sharing"",""Agencies With Number of Deals A!A:K""),10,0)"),"021200339")</f>
        <v>021200339</v>
      </c>
      <c r="D27" s="5" t="str">
        <f ca="1">IFERROR(__xludf.DUMMYFUNCTION("VLOOKUP(A27,IMPORTRANGE(""https://docs.google.com/spreadsheets/d/1YTzKr_K5JRaPNV_4z6w8eq_6U9Z-8UIZfBG8lUnhgpg/edit?usp=sharing"",""Agencies With Number of Deals A!A:K""),9,0)"),"009419419370")</f>
        <v>009419419370</v>
      </c>
      <c r="E27" s="4" t="s">
        <v>9</v>
      </c>
      <c r="F27" s="6">
        <v>46037</v>
      </c>
      <c r="G27" s="4" t="s">
        <v>10</v>
      </c>
      <c r="H27" s="7">
        <v>128.52000000000001</v>
      </c>
    </row>
    <row r="28" spans="1:8" ht="12.75" x14ac:dyDescent="0.2">
      <c r="A28" s="4">
        <v>16783339074</v>
      </c>
      <c r="B28" s="4" t="s">
        <v>41</v>
      </c>
      <c r="C28" s="5" t="str">
        <f ca="1">IFERROR(__xludf.DUMMYFUNCTION("VLOOKUP(A28,IMPORTRANGE(""https://docs.google.com/spreadsheets/d/1YTzKr_K5JRaPNV_4z6w8eq_6U9Z-8UIZfBG8lUnhgpg/edit?usp=sharing"",""Agencies With Number of Deals A!A:K""),10,0)"),"122101706")</f>
        <v>122101706</v>
      </c>
      <c r="D28" s="5" t="str">
        <f ca="1">IFERROR(__xludf.DUMMYFUNCTION("VLOOKUP(A28,IMPORTRANGE(""https://docs.google.com/spreadsheets/d/1YTzKr_K5JRaPNV_4z6w8eq_6U9Z-8UIZfBG8lUnhgpg/edit?usp=sharing"",""Agencies With Number of Deals A!A:K""),9,0)"),"4672081521")</f>
        <v>4672081521</v>
      </c>
      <c r="E28" s="4" t="s">
        <v>9</v>
      </c>
      <c r="F28" s="6">
        <v>46037</v>
      </c>
      <c r="G28" s="4" t="s">
        <v>10</v>
      </c>
      <c r="H28" s="7">
        <v>461.52</v>
      </c>
    </row>
    <row r="29" spans="1:8" ht="12.75" x14ac:dyDescent="0.2">
      <c r="A29" s="4">
        <v>5031608014</v>
      </c>
      <c r="B29" s="4" t="s">
        <v>42</v>
      </c>
      <c r="C29" s="5" t="str">
        <f ca="1">IFERROR(__xludf.DUMMYFUNCTION("VLOOKUP(A29,IMPORTRANGE(""https://docs.google.com/spreadsheets/d/1YTzKr_K5JRaPNV_4z6w8eq_6U9Z-8UIZfBG8lUnhgpg/edit?usp=sharing"",""Agencies With Number of Deals A!A:K""),10,0)"),"122105278")</f>
        <v>122105278</v>
      </c>
      <c r="D29" s="5" t="str">
        <f ca="1">IFERROR(__xludf.DUMMYFUNCTION("VLOOKUP(A29,IMPORTRANGE(""https://docs.google.com/spreadsheets/d/1YTzKr_K5JRaPNV_4z6w8eq_6U9Z-8UIZfBG8lUnhgpg/edit?usp=sharing"",""Agencies With Number of Deals A!A:K""),9,0)"),"3863609859")</f>
        <v>3863609859</v>
      </c>
      <c r="E29" s="4" t="s">
        <v>9</v>
      </c>
      <c r="F29" s="6">
        <v>46037</v>
      </c>
      <c r="G29" s="4" t="s">
        <v>10</v>
      </c>
      <c r="H29" s="7">
        <v>3904.22</v>
      </c>
    </row>
    <row r="30" spans="1:8" ht="12.75" x14ac:dyDescent="0.2">
      <c r="A30" s="4">
        <v>16795391527</v>
      </c>
      <c r="B30" s="4" t="s">
        <v>43</v>
      </c>
      <c r="C30" s="5" t="str">
        <f ca="1">IFERROR(__xludf.DUMMYFUNCTION("VLOOKUP(A30,IMPORTRANGE(""https://docs.google.com/spreadsheets/d/1YTzKr_K5JRaPNV_4z6w8eq_6U9Z-8UIZfBG8lUnhgpg/edit?usp=sharing"",""Agencies With Number of Deals A!A:K""),10,0)"),"026013673")</f>
        <v>026013673</v>
      </c>
      <c r="D30" s="5" t="str">
        <f ca="1">IFERROR(__xludf.DUMMYFUNCTION("VLOOKUP(A30,IMPORTRANGE(""https://docs.google.com/spreadsheets/d/1YTzKr_K5JRaPNV_4z6w8eq_6U9Z-8UIZfBG8lUnhgpg/edit?usp=sharing"",""Agencies With Number of Deals A!A:K""),9,0)"),"4375185034")</f>
        <v>4375185034</v>
      </c>
      <c r="E30" s="4" t="s">
        <v>9</v>
      </c>
      <c r="F30" s="6">
        <v>46037</v>
      </c>
      <c r="G30" s="4" t="s">
        <v>10</v>
      </c>
      <c r="H30" s="7">
        <v>71.52</v>
      </c>
    </row>
    <row r="31" spans="1:8" ht="12.75" x14ac:dyDescent="0.2">
      <c r="A31" s="4">
        <v>16072912142</v>
      </c>
      <c r="B31" s="4" t="s">
        <v>44</v>
      </c>
      <c r="C31" s="5" t="str">
        <f ca="1">IFERROR(__xludf.DUMMYFUNCTION("VLOOKUP(A31,IMPORTRANGE(""https://docs.google.com/spreadsheets/d/1YTzKr_K5JRaPNV_4z6w8eq_6U9Z-8UIZfBG8lUnhgpg/edit?usp=sharing"",""Agencies With Number of Deals A!A:K""),10,0)"),"313189401")</f>
        <v>313189401</v>
      </c>
      <c r="D31" s="5" t="str">
        <f ca="1">IFERROR(__xludf.DUMMYFUNCTION("VLOOKUP(A31,IMPORTRANGE(""https://docs.google.com/spreadsheets/d/1YTzKr_K5JRaPNV_4z6w8eq_6U9Z-8UIZfBG8lUnhgpg/edit?usp=sharing"",""Agencies With Number of Deals A!A:K""),9,0)"),"310945")</f>
        <v>310945</v>
      </c>
      <c r="E31" s="4" t="s">
        <v>9</v>
      </c>
      <c r="F31" s="6">
        <v>46037</v>
      </c>
      <c r="G31" s="4" t="s">
        <v>10</v>
      </c>
      <c r="H31" s="7">
        <v>337.38</v>
      </c>
    </row>
    <row r="32" spans="1:8" ht="12.75" x14ac:dyDescent="0.2">
      <c r="A32" s="4">
        <v>19826818086</v>
      </c>
      <c r="B32" s="4" t="s">
        <v>45</v>
      </c>
      <c r="C32" s="4" t="s">
        <v>46</v>
      </c>
      <c r="D32" s="4" t="s">
        <v>47</v>
      </c>
      <c r="E32" s="4" t="s">
        <v>9</v>
      </c>
      <c r="F32" s="6">
        <v>46037</v>
      </c>
      <c r="G32" s="4" t="s">
        <v>10</v>
      </c>
      <c r="H32" s="7">
        <v>636.82000000000005</v>
      </c>
    </row>
    <row r="33" spans="1:8" ht="12.75" x14ac:dyDescent="0.2">
      <c r="A33" s="4">
        <v>20621886105</v>
      </c>
      <c r="B33" s="4" t="s">
        <v>48</v>
      </c>
      <c r="C33" s="5" t="str">
        <f ca="1">IFERROR(__xludf.DUMMYFUNCTION("VLOOKUP(A33,IMPORTRANGE(""https://docs.google.com/spreadsheets/d/1YTzKr_K5JRaPNV_4z6w8eq_6U9Z-8UIZfBG8lUnhgpg/edit?usp=sharing"",""Agencies With Number of Deals A!A:K""),10,0)"),"301180056")</f>
        <v>301180056</v>
      </c>
      <c r="D33" s="5" t="str">
        <f ca="1">IFERROR(__xludf.DUMMYFUNCTION("VLOOKUP(A33,IMPORTRANGE(""https://docs.google.com/spreadsheets/d/1YTzKr_K5JRaPNV_4z6w8eq_6U9Z-8UIZfBG8lUnhgpg/edit?usp=sharing"",""Agencies With Number of Deals A!A:K""),9,0)"),"191717128")</f>
        <v>191717128</v>
      </c>
      <c r="E33" s="4" t="s">
        <v>9</v>
      </c>
      <c r="F33" s="6">
        <v>46037</v>
      </c>
      <c r="G33" s="4" t="s">
        <v>10</v>
      </c>
      <c r="H33" s="7">
        <v>1270.56</v>
      </c>
    </row>
    <row r="34" spans="1:8" ht="12.75" x14ac:dyDescent="0.2">
      <c r="A34" s="4">
        <v>655582664</v>
      </c>
      <c r="B34" s="4" t="s">
        <v>49</v>
      </c>
      <c r="C34" s="5" t="str">
        <f ca="1">IFERROR(__xludf.DUMMYFUNCTION("VLOOKUP(A34,IMPORTRANGE(""https://docs.google.com/spreadsheets/d/1YTzKr_K5JRaPNV_4z6w8eq_6U9Z-8UIZfBG8lUnhgpg/edit?usp=sharing"",""Agencies With Number of Deals A!A:K""),10,0)"),"031202084")</f>
        <v>031202084</v>
      </c>
      <c r="D34" s="5" t="str">
        <f ca="1">IFERROR(__xludf.DUMMYFUNCTION("VLOOKUP(A34,IMPORTRANGE(""https://docs.google.com/spreadsheets/d/1YTzKr_K5JRaPNV_4z6w8eq_6U9Z-8UIZfBG8lUnhgpg/edit?usp=sharing"",""Agencies With Number of Deals A!A:K""),9,0)"),"383011407128")</f>
        <v>383011407128</v>
      </c>
      <c r="E34" s="4" t="s">
        <v>9</v>
      </c>
      <c r="F34" s="6">
        <v>46037</v>
      </c>
      <c r="G34" s="4" t="s">
        <v>10</v>
      </c>
      <c r="H34" s="7">
        <v>1460.88</v>
      </c>
    </row>
    <row r="35" spans="1:8" ht="12.75" x14ac:dyDescent="0.2">
      <c r="A35" s="4">
        <v>23381041554</v>
      </c>
      <c r="B35" s="4" t="s">
        <v>50</v>
      </c>
      <c r="C35" s="4" t="s">
        <v>51</v>
      </c>
      <c r="D35" s="4" t="s">
        <v>52</v>
      </c>
      <c r="E35" s="4" t="s">
        <v>9</v>
      </c>
      <c r="F35" s="6">
        <v>46037</v>
      </c>
      <c r="G35" s="4" t="s">
        <v>10</v>
      </c>
      <c r="H35" s="7">
        <v>16981.919999999998</v>
      </c>
    </row>
    <row r="36" spans="1:8" ht="12.75" x14ac:dyDescent="0.2">
      <c r="A36" s="4">
        <v>655427651</v>
      </c>
      <c r="B36" s="4" t="s">
        <v>53</v>
      </c>
      <c r="C36" s="5" t="str">
        <f ca="1">IFERROR(__xludf.DUMMYFUNCTION("VLOOKUP(A36,IMPORTRANGE(""https://docs.google.com/spreadsheets/d/1YTzKr_K5JRaPNV_4z6w8eq_6U9Z-8UIZfBG8lUnhgpg/edit?usp=sharing"",""Agencies With Number of Deals A!A:K""),10,0)"),"061092387")</f>
        <v>061092387</v>
      </c>
      <c r="D36" s="5" t="str">
        <f ca="1">IFERROR(__xludf.DUMMYFUNCTION("VLOOKUP(A36,IMPORTRANGE(""https://docs.google.com/spreadsheets/d/1YTzKr_K5JRaPNV_4z6w8eq_6U9Z-8UIZfBG8lUnhgpg/edit?usp=sharing"",""Agencies With Number of Deals A!A:K""),9,0)"),"926111852")</f>
        <v>926111852</v>
      </c>
      <c r="E36" s="4" t="s">
        <v>9</v>
      </c>
      <c r="F36" s="6">
        <v>46037</v>
      </c>
      <c r="G36" s="4" t="s">
        <v>10</v>
      </c>
      <c r="H36" s="7">
        <v>320.94</v>
      </c>
    </row>
    <row r="37" spans="1:8" ht="12.75" x14ac:dyDescent="0.2">
      <c r="A37" s="4">
        <v>15983701031</v>
      </c>
      <c r="B37" s="4" t="s">
        <v>54</v>
      </c>
      <c r="C37" s="5" t="str">
        <f ca="1">IFERROR(__xludf.DUMMYFUNCTION("VLOOKUP(A37,IMPORTRANGE(""https://docs.google.com/spreadsheets/d/1YTzKr_K5JRaPNV_4z6w8eq_6U9Z-8UIZfBG8lUnhgpg/edit?usp=sharing"",""Agencies With Number of Deals A!A:K""),10,0)"),"107005047")</f>
        <v>107005047</v>
      </c>
      <c r="D37" s="5" t="str">
        <f ca="1">IFERROR(__xludf.DUMMYFUNCTION("VLOOKUP(A37,IMPORTRANGE(""https://docs.google.com/spreadsheets/d/1YTzKr_K5JRaPNV_4z6w8eq_6U9Z-8UIZfBG8lUnhgpg/edit?usp=sharing"",""Agencies With Number of Deals A!A:K""),9,0)"),"7371231817")</f>
        <v>7371231817</v>
      </c>
      <c r="E37" s="4" t="s">
        <v>9</v>
      </c>
      <c r="F37" s="6">
        <v>46037</v>
      </c>
      <c r="G37" s="4" t="s">
        <v>10</v>
      </c>
      <c r="H37" s="7">
        <v>808.8</v>
      </c>
    </row>
    <row r="38" spans="1:8" ht="12.75" x14ac:dyDescent="0.2">
      <c r="A38" s="4">
        <v>670825449</v>
      </c>
      <c r="B38" s="4" t="s">
        <v>55</v>
      </c>
      <c r="C38" s="5" t="str">
        <f ca="1">IFERROR(__xludf.DUMMYFUNCTION("VLOOKUP(A38,IMPORTRANGE(""https://docs.google.com/spreadsheets/d/1YTzKr_K5JRaPNV_4z6w8eq_6U9Z-8UIZfBG8lUnhgpg/edit?usp=sharing"",""Agencies With Number of Deals A!A:K""),10,0)"),"041215854")</f>
        <v>041215854</v>
      </c>
      <c r="D38" s="5" t="str">
        <f ca="1">IFERROR(__xludf.DUMMYFUNCTION("VLOOKUP(A38,IMPORTRANGE(""https://docs.google.com/spreadsheets/d/1YTzKr_K5JRaPNV_4z6w8eq_6U9Z-8UIZfBG8lUnhgpg/edit?usp=sharing"",""Agencies With Number of Deals A!A:K""),9,0)"),"3146008")</f>
        <v>3146008</v>
      </c>
      <c r="E38" s="4" t="s">
        <v>9</v>
      </c>
      <c r="F38" s="6">
        <v>46037</v>
      </c>
      <c r="G38" s="4" t="s">
        <v>10</v>
      </c>
      <c r="H38" s="7">
        <v>10511.42</v>
      </c>
    </row>
    <row r="39" spans="1:8" ht="12.75" x14ac:dyDescent="0.2">
      <c r="A39" s="4">
        <v>25848288286</v>
      </c>
      <c r="B39" s="4" t="s">
        <v>56</v>
      </c>
      <c r="C39" s="5" t="str">
        <f ca="1">IFERROR(__xludf.DUMMYFUNCTION("VLOOKUP(A39,IMPORTRANGE(""https://docs.google.com/spreadsheets/d/1YTzKr_K5JRaPNV_4z6w8eq_6U9Z-8UIZfBG8lUnhgpg/edit?usp=sharing"",""Agencies With Number of Deals A!A:K""),10,0)"),"121000358")</f>
        <v>121000358</v>
      </c>
      <c r="D39" s="5" t="str">
        <f ca="1">IFERROR(__xludf.DUMMYFUNCTION("VLOOKUP(A39,IMPORTRANGE(""https://docs.google.com/spreadsheets/d/1YTzKr_K5JRaPNV_4z6w8eq_6U9Z-8UIZfBG8lUnhgpg/edit?usp=sharing"",""Agencies With Number of Deals A!A:K""),9,0)"),"000035471962")</f>
        <v>000035471962</v>
      </c>
      <c r="E39" s="4" t="s">
        <v>9</v>
      </c>
      <c r="F39" s="6">
        <v>46037</v>
      </c>
      <c r="G39" s="4" t="s">
        <v>10</v>
      </c>
      <c r="H39" s="7">
        <v>1909.52</v>
      </c>
    </row>
    <row r="40" spans="1:8" ht="12.75" x14ac:dyDescent="0.2">
      <c r="A40" s="4">
        <v>15919448363</v>
      </c>
      <c r="B40" s="4" t="s">
        <v>57</v>
      </c>
      <c r="C40" s="5" t="str">
        <f ca="1">IFERROR(__xludf.DUMMYFUNCTION("VLOOKUP(A40,IMPORTRANGE(""https://docs.google.com/spreadsheets/d/1YTzKr_K5JRaPNV_4z6w8eq_6U9Z-8UIZfBG8lUnhgpg/edit?usp=sharing"",""Agencies With Number of Deals A!A:K""),10,0)"),"064008637")</f>
        <v>064008637</v>
      </c>
      <c r="D40" s="5" t="str">
        <f ca="1">IFERROR(__xludf.DUMMYFUNCTION("VLOOKUP(A40,IMPORTRANGE(""https://docs.google.com/spreadsheets/d/1YTzKr_K5JRaPNV_4z6w8eq_6U9Z-8UIZfBG8lUnhgpg/edit?usp=sharing"",""Agencies With Number of Deals A!A:K""),9,0)"),"040196933")</f>
        <v>040196933</v>
      </c>
      <c r="E40" s="4" t="s">
        <v>9</v>
      </c>
      <c r="F40" s="6">
        <v>46037</v>
      </c>
      <c r="G40" s="4" t="s">
        <v>10</v>
      </c>
      <c r="H40" s="7">
        <v>1432.62</v>
      </c>
    </row>
    <row r="41" spans="1:8" ht="12.75" x14ac:dyDescent="0.2">
      <c r="A41" s="4">
        <v>670824900</v>
      </c>
      <c r="B41" s="4" t="s">
        <v>58</v>
      </c>
      <c r="C41" s="5" t="str">
        <f ca="1">IFERROR(__xludf.DUMMYFUNCTION("VLOOKUP(A41,IMPORTRANGE(""https://docs.google.com/spreadsheets/d/1YTzKr_K5JRaPNV_4z6w8eq_6U9Z-8UIZfBG8lUnhgpg/edit?usp=sharing"",""Agencies With Number of Deals A!A:K""),10,0)"),"071000288")</f>
        <v>071000288</v>
      </c>
      <c r="D41" s="5" t="s">
        <v>59</v>
      </c>
      <c r="E41" s="4" t="s">
        <v>9</v>
      </c>
      <c r="F41" s="6">
        <v>46037</v>
      </c>
      <c r="G41" s="4" t="s">
        <v>10</v>
      </c>
      <c r="H41" s="7">
        <v>1004.52</v>
      </c>
    </row>
    <row r="42" spans="1:8" ht="12.75" x14ac:dyDescent="0.2">
      <c r="A42" s="4">
        <v>16718005687</v>
      </c>
      <c r="B42" s="4" t="s">
        <v>60</v>
      </c>
      <c r="C42" s="5" t="str">
        <f ca="1">IFERROR(__xludf.DUMMYFUNCTION("VLOOKUP(A42,IMPORTRANGE(""https://docs.google.com/spreadsheets/d/1YTzKr_K5JRaPNV_4z6w8eq_6U9Z-8UIZfBG8lUnhgpg/edit?usp=sharing"",""Agencies With Number of Deals A!A:K""),10,0)"),"041002711")</f>
        <v>041002711</v>
      </c>
      <c r="D42" s="5" t="str">
        <f ca="1">IFERROR(__xludf.DUMMYFUNCTION("VLOOKUP(A42,IMPORTRANGE(""https://docs.google.com/spreadsheets/d/1YTzKr_K5JRaPNV_4z6w8eq_6U9Z-8UIZfBG8lUnhgpg/edit?usp=sharing"",""Agencies With Number of Deals A!A:K""),9,0)"),"83774449")</f>
        <v>83774449</v>
      </c>
      <c r="E42" s="4" t="s">
        <v>9</v>
      </c>
      <c r="F42" s="6">
        <v>46037</v>
      </c>
      <c r="G42" s="4" t="s">
        <v>10</v>
      </c>
      <c r="H42" s="7">
        <v>2239.6999999999998</v>
      </c>
    </row>
    <row r="43" spans="1:8" ht="12.75" x14ac:dyDescent="0.2">
      <c r="A43" s="4">
        <v>655590028</v>
      </c>
      <c r="B43" s="4" t="s">
        <v>61</v>
      </c>
      <c r="C43" s="5" t="str">
        <f ca="1">IFERROR(__xludf.DUMMYFUNCTION("VLOOKUP(A43,IMPORTRANGE(""https://docs.google.com/spreadsheets/d/1YTzKr_K5JRaPNV_4z6w8eq_6U9Z-8UIZfBG8lUnhgpg/edit?usp=sharing"",""Agencies With Number of Deals A!A:K""),10,0)"),"121000248")</f>
        <v>121000248</v>
      </c>
      <c r="D43" s="5" t="str">
        <f ca="1">IFERROR(__xludf.DUMMYFUNCTION("VLOOKUP(A43,IMPORTRANGE(""https://docs.google.com/spreadsheets/d/1YTzKr_K5JRaPNV_4z6w8eq_6U9Z-8UIZfBG8lUnhgpg/edit?usp=sharing"",""Agencies With Number of Deals A!A:K""),9,0)"),"4121434260")</f>
        <v>4121434260</v>
      </c>
      <c r="E43" s="4" t="s">
        <v>9</v>
      </c>
      <c r="F43" s="6">
        <v>46037</v>
      </c>
      <c r="G43" s="4" t="s">
        <v>10</v>
      </c>
      <c r="H43" s="7">
        <v>917.16</v>
      </c>
    </row>
    <row r="44" spans="1:8" ht="12.75" x14ac:dyDescent="0.2">
      <c r="A44" s="4">
        <v>16085989042</v>
      </c>
      <c r="B44" s="4" t="s">
        <v>62</v>
      </c>
      <c r="C44" s="5" t="str">
        <f ca="1">IFERROR(__xludf.DUMMYFUNCTION("VLOOKUP(A44,IMPORTRANGE(""https://docs.google.com/spreadsheets/d/1YTzKr_K5JRaPNV_4z6w8eq_6U9Z-8UIZfBG8lUnhgpg/edit?usp=sharing"",""Agencies With Number of Deals A!A:K""),10,0)"),"021202337")</f>
        <v>021202337</v>
      </c>
      <c r="D44" s="5" t="str">
        <f ca="1">IFERROR(__xludf.DUMMYFUNCTION("VLOOKUP(A44,IMPORTRANGE(""https://docs.google.com/spreadsheets/d/1YTzKr_K5JRaPNV_4z6w8eq_6U9Z-8UIZfBG8lUnhgpg/edit?usp=sharing"",""Agencies With Number of Deals A!A:K""),9,0)"),"216616885")</f>
        <v>216616885</v>
      </c>
      <c r="E44" s="4" t="s">
        <v>9</v>
      </c>
      <c r="F44" s="6">
        <v>46037</v>
      </c>
      <c r="G44" s="4" t="s">
        <v>10</v>
      </c>
      <c r="H44" s="7">
        <v>721.9</v>
      </c>
    </row>
    <row r="45" spans="1:8" ht="12.75" x14ac:dyDescent="0.2">
      <c r="A45" s="4">
        <v>17161343100</v>
      </c>
      <c r="B45" s="4" t="s">
        <v>63</v>
      </c>
      <c r="C45" s="5" t="str">
        <f ca="1">IFERROR(__xludf.DUMMYFUNCTION("VLOOKUP(A45,IMPORTRANGE(""https://docs.google.com/spreadsheets/d/1YTzKr_K5JRaPNV_4z6w8eq_6U9Z-8UIZfBG8lUnhgpg/edit?usp=sharing"",""Agencies With Number of Deals A!A:K""),10,0)"),"044109336")</f>
        <v>044109336</v>
      </c>
      <c r="D45" s="5" t="str">
        <f ca="1">IFERROR(__xludf.DUMMYFUNCTION("VLOOKUP(A45,IMPORTRANGE(""https://docs.google.com/spreadsheets/d/1YTzKr_K5JRaPNV_4z6w8eq_6U9Z-8UIZfBG8lUnhgpg/edit?usp=sharing"",""Agencies With Number of Deals A!A:K""),9,0)"),"117003854")</f>
        <v>117003854</v>
      </c>
      <c r="E45" s="4" t="s">
        <v>9</v>
      </c>
      <c r="F45" s="6">
        <v>46037</v>
      </c>
      <c r="G45" s="4" t="s">
        <v>10</v>
      </c>
      <c r="H45" s="7">
        <v>75.239999999999995</v>
      </c>
    </row>
    <row r="46" spans="1:8" ht="12.75" x14ac:dyDescent="0.2">
      <c r="A46" s="4">
        <v>655427857</v>
      </c>
      <c r="B46" s="4" t="s">
        <v>64</v>
      </c>
      <c r="C46" s="5" t="str">
        <f ca="1">IFERROR(__xludf.DUMMYFUNCTION("VLOOKUP(A46,IMPORTRANGE(""https://docs.google.com/spreadsheets/d/1YTzKr_K5JRaPNV_4z6w8eq_6U9Z-8UIZfBG8lUnhgpg/edit?usp=sharing"",""Agencies With Number of Deals A!A:K""),10,0)"),"122105278")</f>
        <v>122105278</v>
      </c>
      <c r="D46" s="5" t="str">
        <f ca="1">IFERROR(__xludf.DUMMYFUNCTION("VLOOKUP(A46,IMPORTRANGE(""https://docs.google.com/spreadsheets/d/1YTzKr_K5JRaPNV_4z6w8eq_6U9Z-8UIZfBG8lUnhgpg/edit?usp=sharing"",""Agencies With Number of Deals A!A:K""),9,0)"),"8533943752")</f>
        <v>8533943752</v>
      </c>
      <c r="E46" s="4" t="s">
        <v>9</v>
      </c>
      <c r="F46" s="6">
        <v>46037</v>
      </c>
      <c r="G46" s="4" t="s">
        <v>10</v>
      </c>
      <c r="H46" s="7">
        <v>2212.6</v>
      </c>
    </row>
    <row r="47" spans="1:8" ht="12.75" x14ac:dyDescent="0.2">
      <c r="A47" s="4">
        <v>655583119</v>
      </c>
      <c r="B47" s="4" t="s">
        <v>65</v>
      </c>
      <c r="C47" s="5" t="str">
        <f ca="1">IFERROR(__xludf.DUMMYFUNCTION("VLOOKUP(A47,IMPORTRANGE(""https://docs.google.com/spreadsheets/d/1YTzKr_K5JRaPNV_4z6w8eq_6U9Z-8UIZfBG8lUnhgpg/edit?usp=sharing"",""Agencies With Number of Deals A!A:K""),10,0)"),"122100024")</f>
        <v>122100024</v>
      </c>
      <c r="D47" s="5" t="str">
        <f ca="1">IFERROR(__xludf.DUMMYFUNCTION("VLOOKUP(A47,IMPORTRANGE(""https://docs.google.com/spreadsheets/d/1YTzKr_K5JRaPNV_4z6w8eq_6U9Z-8UIZfBG8lUnhgpg/edit?usp=sharing"",""Agencies With Number of Deals A!A:K""),9,0)"),"885301390")</f>
        <v>885301390</v>
      </c>
      <c r="E47" s="4" t="s">
        <v>9</v>
      </c>
      <c r="F47" s="6">
        <v>46037</v>
      </c>
      <c r="G47" s="4" t="s">
        <v>10</v>
      </c>
      <c r="H47" s="7">
        <v>769.2</v>
      </c>
    </row>
    <row r="48" spans="1:8" ht="12.75" x14ac:dyDescent="0.2">
      <c r="A48" s="4">
        <v>18033533990</v>
      </c>
      <c r="B48" s="4" t="s">
        <v>66</v>
      </c>
      <c r="C48" s="5" t="str">
        <f ca="1">IFERROR(__xludf.DUMMYFUNCTION("VLOOKUP(A48,IMPORTRANGE(""https://docs.google.com/spreadsheets/d/1YTzKr_K5JRaPNV_4z6w8eq_6U9Z-8UIZfBG8lUnhgpg/edit?usp=sharing"",""Agencies With Number of Deals A!A:K""),10,0)"),"111900659")</f>
        <v>111900659</v>
      </c>
      <c r="D48" s="5" t="str">
        <f ca="1">IFERROR(__xludf.DUMMYFUNCTION("VLOOKUP(A48,IMPORTRANGE(""https://docs.google.com/spreadsheets/d/1YTzKr_K5JRaPNV_4z6w8eq_6U9Z-8UIZfBG8lUnhgpg/edit?usp=sharing"",""Agencies With Number of Deals A!A:K""),9,0)"),"4231035008")</f>
        <v>4231035008</v>
      </c>
      <c r="E48" s="4" t="s">
        <v>9</v>
      </c>
      <c r="F48" s="6">
        <v>46037</v>
      </c>
      <c r="G48" s="4" t="s">
        <v>10</v>
      </c>
      <c r="H48" s="7">
        <v>1800.6</v>
      </c>
    </row>
    <row r="49" spans="1:8" ht="12.75" x14ac:dyDescent="0.2">
      <c r="A49" s="4">
        <v>5247239353</v>
      </c>
      <c r="B49" s="4" t="s">
        <v>67</v>
      </c>
      <c r="C49" s="5" t="str">
        <f ca="1">IFERROR(__xludf.DUMMYFUNCTION("VLOOKUP(A49,IMPORTRANGE(""https://docs.google.com/spreadsheets/d/1YTzKr_K5JRaPNV_4z6w8eq_6U9Z-8UIZfBG8lUnhgpg/edit?usp=sharing"",""Agencies With Number of Deals A!A:K""),10,0)"),"063116504")</f>
        <v>063116504</v>
      </c>
      <c r="D49" s="5" t="str">
        <f ca="1">IFERROR(__xludf.DUMMYFUNCTION("VLOOKUP(A49,IMPORTRANGE(""https://docs.google.com/spreadsheets/d/1YTzKr_K5JRaPNV_4z6w8eq_6U9Z-8UIZfBG8lUnhgpg/edit?usp=sharing"",""Agencies With Number of Deals A!A:K""),9,0)"),"1180750173")</f>
        <v>1180750173</v>
      </c>
      <c r="E49" s="4" t="s">
        <v>9</v>
      </c>
      <c r="F49" s="6">
        <v>46037</v>
      </c>
      <c r="G49" s="4" t="s">
        <v>10</v>
      </c>
      <c r="H49" s="7">
        <v>3105.24</v>
      </c>
    </row>
    <row r="50" spans="1:8" ht="12.75" x14ac:dyDescent="0.2">
      <c r="A50" s="4">
        <v>43739899669</v>
      </c>
      <c r="B50" s="4" t="s">
        <v>68</v>
      </c>
      <c r="C50" s="5" t="str">
        <f ca="1">IFERROR(__xludf.DUMMYFUNCTION("VLOOKUP(A50,IMPORTRANGE(""https://docs.google.com/spreadsheets/d/1YTzKr_K5JRaPNV_4z6w8eq_6U9Z-8UIZfBG8lUnhgpg/edit?usp=sharing"",""Agencies With Number of Deals A!A:K""),10,0)"),"307070267")</f>
        <v>307070267</v>
      </c>
      <c r="D50" s="5" t="str">
        <f ca="1">IFERROR(__xludf.DUMMYFUNCTION("VLOOKUP(A50,IMPORTRANGE(""https://docs.google.com/spreadsheets/d/1YTzKr_K5JRaPNV_4z6w8eq_6U9Z-8UIZfBG8lUnhgpg/edit?usp=sharing"",""Agencies With Number of Deals A!A:K""),9,0)"),"00766241009998")</f>
        <v>00766241009998</v>
      </c>
      <c r="E50" s="4" t="s">
        <v>9</v>
      </c>
      <c r="F50" s="6">
        <v>46037</v>
      </c>
      <c r="G50" s="4" t="s">
        <v>10</v>
      </c>
      <c r="H50" s="7">
        <v>4861.68</v>
      </c>
    </row>
    <row r="51" spans="1:8" ht="12.75" x14ac:dyDescent="0.2">
      <c r="A51" s="4">
        <v>17372880450</v>
      </c>
      <c r="B51" s="4" t="s">
        <v>69</v>
      </c>
      <c r="C51" s="5" t="str">
        <f ca="1">IFERROR(__xludf.DUMMYFUNCTION("VLOOKUP(A51,IMPORTRANGE(""https://docs.google.com/spreadsheets/d/1YTzKr_K5JRaPNV_4z6w8eq_6U9Z-8UIZfBG8lUnhgpg/edit?usp=sharing"",""Agencies With Number of Deals A!A:K""),10,0)"),"122100024")</f>
        <v>122100024</v>
      </c>
      <c r="D51" s="5" t="str">
        <f ca="1">IFERROR(__xludf.DUMMYFUNCTION("VLOOKUP(A51,IMPORTRANGE(""https://docs.google.com/spreadsheets/d/1YTzKr_K5JRaPNV_4z6w8eq_6U9Z-8UIZfBG8lUnhgpg/edit?usp=sharing"",""Agencies With Number of Deals A!A:K""),9,0)"),"727190715")</f>
        <v>727190715</v>
      </c>
      <c r="E51" s="4" t="s">
        <v>9</v>
      </c>
      <c r="F51" s="6">
        <v>46037</v>
      </c>
      <c r="G51" s="4" t="s">
        <v>10</v>
      </c>
      <c r="H51" s="7">
        <v>70.08</v>
      </c>
    </row>
    <row r="52" spans="1:8" ht="12.75" x14ac:dyDescent="0.2">
      <c r="A52" s="4">
        <v>17357584298</v>
      </c>
      <c r="B52" s="4" t="s">
        <v>70</v>
      </c>
      <c r="C52" s="4" t="s">
        <v>71</v>
      </c>
      <c r="D52" s="4" t="s">
        <v>72</v>
      </c>
      <c r="E52" s="4" t="s">
        <v>9</v>
      </c>
      <c r="F52" s="6">
        <v>46037</v>
      </c>
      <c r="G52" s="4" t="s">
        <v>10</v>
      </c>
      <c r="H52" s="7">
        <v>302.52</v>
      </c>
    </row>
    <row r="53" spans="1:8" ht="12.75" x14ac:dyDescent="0.2">
      <c r="A53" s="4">
        <v>16783329850</v>
      </c>
      <c r="B53" s="4" t="s">
        <v>73</v>
      </c>
      <c r="C53" s="5" t="str">
        <f ca="1">IFERROR(__xludf.DUMMYFUNCTION("VLOOKUP(A53,IMPORTRANGE(""https://docs.google.com/spreadsheets/d/1YTzKr_K5JRaPNV_4z6w8eq_6U9Z-8UIZfBG8lUnhgpg/edit?usp=sharing"",""Agencies With Number of Deals A!A:K""),10,0)"),"111900659")</f>
        <v>111900659</v>
      </c>
      <c r="D53" s="5" t="str">
        <f ca="1">IFERROR(__xludf.DUMMYFUNCTION("VLOOKUP(A53,IMPORTRANGE(""https://docs.google.com/spreadsheets/d/1YTzKr_K5JRaPNV_4z6w8eq_6U9Z-8UIZfBG8lUnhgpg/edit?usp=sharing"",""Agencies With Number of Deals A!A:K""),9,0)"),"1252685837")</f>
        <v>1252685837</v>
      </c>
      <c r="E53" s="4" t="s">
        <v>9</v>
      </c>
      <c r="F53" s="6">
        <v>46037</v>
      </c>
      <c r="G53" s="4" t="s">
        <v>10</v>
      </c>
      <c r="H53" s="7">
        <v>35.76</v>
      </c>
    </row>
    <row r="54" spans="1:8" ht="12.75" x14ac:dyDescent="0.2">
      <c r="A54" s="4">
        <v>4440271796</v>
      </c>
      <c r="B54" s="4" t="s">
        <v>74</v>
      </c>
      <c r="C54" s="5" t="str">
        <f ca="1">IFERROR(__xludf.DUMMYFUNCTION("VLOOKUP(A54,IMPORTRANGE(""https://docs.google.com/spreadsheets/d/1YTzKr_K5JRaPNV_4z6w8eq_6U9Z-8UIZfBG8lUnhgpg/edit?usp=sharing"",""Agencies With Number of Deals A!A:K""),10,0)"),"122105278")</f>
        <v>122105278</v>
      </c>
      <c r="D54" s="5" t="str">
        <f ca="1">IFERROR(__xludf.DUMMYFUNCTION("VLOOKUP(A54,IMPORTRANGE(""https://docs.google.com/spreadsheets/d/1YTzKr_K5JRaPNV_4z6w8eq_6U9Z-8UIZfBG8lUnhgpg/edit?usp=sharing"",""Agencies With Number of Deals A!A:K""),9,0)"),"6971328056")</f>
        <v>6971328056</v>
      </c>
      <c r="E54" s="4" t="s">
        <v>9</v>
      </c>
      <c r="F54" s="6">
        <v>46037</v>
      </c>
      <c r="G54" s="4" t="s">
        <v>10</v>
      </c>
      <c r="H54" s="7">
        <v>13075.64</v>
      </c>
    </row>
    <row r="55" spans="1:8" ht="12.75" x14ac:dyDescent="0.2">
      <c r="A55" s="4">
        <v>16085932052</v>
      </c>
      <c r="B55" s="4" t="s">
        <v>75</v>
      </c>
      <c r="C55" s="5" t="str">
        <f ca="1">IFERROR(__xludf.DUMMYFUNCTION("VLOOKUP(A55,IMPORTRANGE(""https://docs.google.com/spreadsheets/d/1YTzKr_K5JRaPNV_4z6w8eq_6U9Z-8UIZfBG8lUnhgpg/edit?usp=sharing"",""Agencies With Number of Deals A!A:K""),10,0)"),"262275835")</f>
        <v>262275835</v>
      </c>
      <c r="D55" s="5" t="str">
        <f ca="1">IFERROR(__xludf.DUMMYFUNCTION("VLOOKUP(A55,IMPORTRANGE(""https://docs.google.com/spreadsheets/d/1YTzKr_K5JRaPNV_4z6w8eq_6U9Z-8UIZfBG8lUnhgpg/edit?usp=sharing"",""Agencies With Number of Deals A!A:K""),9,0)"),"51006729089")</f>
        <v>51006729089</v>
      </c>
      <c r="E55" s="4" t="s">
        <v>9</v>
      </c>
      <c r="F55" s="6">
        <v>46037</v>
      </c>
      <c r="G55" s="4" t="s">
        <v>10</v>
      </c>
      <c r="H55" s="7">
        <v>1491.1</v>
      </c>
    </row>
    <row r="56" spans="1:8" ht="12.75" x14ac:dyDescent="0.2">
      <c r="A56" s="4">
        <v>8118798085</v>
      </c>
      <c r="B56" s="4" t="s">
        <v>76</v>
      </c>
      <c r="C56" s="5" t="str">
        <f ca="1">IFERROR(__xludf.DUMMYFUNCTION("VLOOKUP(A56,IMPORTRANGE(""https://docs.google.com/spreadsheets/d/1YTzKr_K5JRaPNV_4z6w8eq_6U9Z-8UIZfBG8lUnhgpg/edit?usp=sharing"",""Agencies With Number of Deals A!A:K""),10,0)"),"061000227")</f>
        <v>061000227</v>
      </c>
      <c r="D56" s="5" t="str">
        <f ca="1">IFERROR(__xludf.DUMMYFUNCTION("VLOOKUP(A56,IMPORTRANGE(""https://docs.google.com/spreadsheets/d/1YTzKr_K5JRaPNV_4z6w8eq_6U9Z-8UIZfBG8lUnhgpg/edit?usp=sharing"",""Agencies With Number of Deals A!A:K""),9,0)"),"1480677416")</f>
        <v>1480677416</v>
      </c>
      <c r="E56" s="4" t="s">
        <v>9</v>
      </c>
      <c r="F56" s="6">
        <v>46037</v>
      </c>
      <c r="G56" s="4" t="s">
        <v>10</v>
      </c>
      <c r="H56" s="7">
        <v>1272.46</v>
      </c>
    </row>
    <row r="57" spans="1:8" ht="12.75" x14ac:dyDescent="0.2">
      <c r="A57" s="4">
        <v>5247218363</v>
      </c>
      <c r="B57" s="4" t="s">
        <v>77</v>
      </c>
      <c r="C57" s="5" t="str">
        <f ca="1">IFERROR(__xludf.DUMMYFUNCTION("VLOOKUP(A57,IMPORTRANGE(""https://docs.google.com/spreadsheets/d/1YTzKr_K5JRaPNV_4z6w8eq_6U9Z-8UIZfBG8lUnhgpg/edit?usp=sharing"",""Agencies With Number of Deals A!A:K""),10,0)"),"063107513")</f>
        <v>063107513</v>
      </c>
      <c r="D57" s="5" t="str">
        <f ca="1">IFERROR(__xludf.DUMMYFUNCTION("VLOOKUP(A57,IMPORTRANGE(""https://docs.google.com/spreadsheets/d/1YTzKr_K5JRaPNV_4z6w8eq_6U9Z-8UIZfBG8lUnhgpg/edit?usp=sharing"",""Agencies With Number of Deals A!A:K""),9,0)"),"5041166140")</f>
        <v>5041166140</v>
      </c>
      <c r="E57" s="4" t="s">
        <v>9</v>
      </c>
      <c r="F57" s="6">
        <v>46037</v>
      </c>
      <c r="G57" s="4" t="s">
        <v>10</v>
      </c>
      <c r="H57" s="7">
        <v>2419.94</v>
      </c>
    </row>
    <row r="58" spans="1:8" ht="12.75" x14ac:dyDescent="0.2">
      <c r="A58" s="4">
        <v>655590053</v>
      </c>
      <c r="B58" s="4" t="s">
        <v>78</v>
      </c>
      <c r="C58" s="5" t="str">
        <f ca="1">IFERROR(__xludf.DUMMYFUNCTION("VLOOKUP(A58,IMPORTRANGE(""https://docs.google.com/spreadsheets/d/1YTzKr_K5JRaPNV_4z6w8eq_6U9Z-8UIZfBG8lUnhgpg/edit?usp=sharing"",""Agencies With Number of Deals A!A:K""),10,0)"),"063100277")</f>
        <v>063100277</v>
      </c>
      <c r="D58" s="5" t="str">
        <f ca="1">IFERROR(__xludf.DUMMYFUNCTION("VLOOKUP(A58,IMPORTRANGE(""https://docs.google.com/spreadsheets/d/1YTzKr_K5JRaPNV_4z6w8eq_6U9Z-8UIZfBG8lUnhgpg/edit?usp=sharing"",""Agencies With Number of Deals A!A:K""),9,0)"),"898102775571")</f>
        <v>898102775571</v>
      </c>
      <c r="E58" s="4" t="s">
        <v>9</v>
      </c>
      <c r="F58" s="6">
        <v>46037</v>
      </c>
      <c r="G58" s="4" t="s">
        <v>10</v>
      </c>
      <c r="H58" s="7">
        <v>1488.36</v>
      </c>
    </row>
    <row r="59" spans="1:8" ht="12.75" x14ac:dyDescent="0.2">
      <c r="A59" s="4">
        <v>16754926768</v>
      </c>
      <c r="B59" s="4" t="s">
        <v>79</v>
      </c>
      <c r="C59" s="5" t="str">
        <f ca="1">IFERROR(__xludf.DUMMYFUNCTION("VLOOKUP(A59,IMPORTRANGE(""https://docs.google.com/spreadsheets/d/1YTzKr_K5JRaPNV_4z6w8eq_6U9Z-8UIZfBG8lUnhgpg/edit?usp=sharing"",""Agencies With Number of Deals A!A:K""),10,0)"),"323070380")</f>
        <v>323070380</v>
      </c>
      <c r="D59" s="5" t="str">
        <f ca="1">IFERROR(__xludf.DUMMYFUNCTION("VLOOKUP(A59,IMPORTRANGE(""https://docs.google.com/spreadsheets/d/1YTzKr_K5JRaPNV_4z6w8eq_6U9Z-8UIZfBG8lUnhgpg/edit?usp=sharing"",""Agencies With Number of Deals A!A:K""),9,0)"),"485002699694")</f>
        <v>485002699694</v>
      </c>
      <c r="E59" s="4" t="s">
        <v>9</v>
      </c>
      <c r="F59" s="6">
        <v>46037</v>
      </c>
      <c r="G59" s="4" t="s">
        <v>10</v>
      </c>
      <c r="H59" s="7">
        <v>4019.82</v>
      </c>
    </row>
    <row r="60" spans="1:8" ht="12.75" x14ac:dyDescent="0.2">
      <c r="A60" s="4">
        <v>16086070051</v>
      </c>
      <c r="B60" s="4" t="s">
        <v>80</v>
      </c>
      <c r="C60" s="5" t="str">
        <f ca="1">IFERROR(__xludf.DUMMYFUNCTION("VLOOKUP(A60,IMPORTRANGE(""https://docs.google.com/spreadsheets/d/1YTzKr_K5JRaPNV_4z6w8eq_6U9Z-8UIZfBG8lUnhgpg/edit?usp=sharing"",""Agencies With Number of Deals A!A:K""),10,0)"),"325081403")</f>
        <v>325081403</v>
      </c>
      <c r="D60" s="5" t="str">
        <f ca="1">IFERROR(__xludf.DUMMYFUNCTION("VLOOKUP(A60,IMPORTRANGE(""https://docs.google.com/spreadsheets/d/1YTzKr_K5JRaPNV_4z6w8eq_6U9Z-8UIZfBG8lUnhgpg/edit?usp=sharing"",""Agencies With Number of Deals A!A:K""),9,0)"),"3615848154")</f>
        <v>3615848154</v>
      </c>
      <c r="E60" s="4" t="s">
        <v>9</v>
      </c>
      <c r="F60" s="6">
        <v>46037</v>
      </c>
      <c r="G60" s="4" t="s">
        <v>10</v>
      </c>
      <c r="H60" s="7">
        <v>214.98</v>
      </c>
    </row>
    <row r="61" spans="1:8" ht="12.75" x14ac:dyDescent="0.2">
      <c r="A61" s="4">
        <v>655583491</v>
      </c>
      <c r="B61" s="4" t="s">
        <v>81</v>
      </c>
      <c r="C61" s="5" t="str">
        <f ca="1">IFERROR(__xludf.DUMMYFUNCTION("VLOOKUP(A61,IMPORTRANGE(""https://docs.google.com/spreadsheets/d/1YTzKr_K5JRaPNV_4z6w8eq_6U9Z-8UIZfBG8lUnhgpg/edit?usp=sharing"",""Agencies With Number of Deals A!A:K""),10,0)"),"101000695")</f>
        <v>101000695</v>
      </c>
      <c r="D61" s="5" t="str">
        <f ca="1">IFERROR(__xludf.DUMMYFUNCTION("VLOOKUP(A61,IMPORTRANGE(""https://docs.google.com/spreadsheets/d/1YTzKr_K5JRaPNV_4z6w8eq_6U9Z-8UIZfBG8lUnhgpg/edit?usp=sharing"",""Agencies With Number of Deals A!A:K""),9,0)"),"9872743474")</f>
        <v>9872743474</v>
      </c>
      <c r="E61" s="4" t="s">
        <v>9</v>
      </c>
      <c r="F61" s="6">
        <v>46037</v>
      </c>
      <c r="G61" s="4" t="s">
        <v>10</v>
      </c>
      <c r="H61" s="7">
        <v>137.16</v>
      </c>
    </row>
    <row r="62" spans="1:8" ht="12.75" x14ac:dyDescent="0.2">
      <c r="A62" s="4">
        <v>7059055375</v>
      </c>
      <c r="B62" s="4" t="s">
        <v>82</v>
      </c>
      <c r="C62" s="5" t="str">
        <f ca="1">IFERROR(__xludf.DUMMYFUNCTION("VLOOKUP(A62,IMPORTRANGE(""https://docs.google.com/spreadsheets/d/1YTzKr_K5JRaPNV_4z6w8eq_6U9Z-8UIZfBG8lUnhgpg/edit?usp=sharing"",""Agencies With Number of Deals A!A:K""),10,0)"),"041002711")</f>
        <v>041002711</v>
      </c>
      <c r="D62" s="5" t="str">
        <f ca="1">IFERROR(__xludf.DUMMYFUNCTION("VLOOKUP(A62,IMPORTRANGE(""https://docs.google.com/spreadsheets/d/1YTzKr_K5JRaPNV_4z6w8eq_6U9Z-8UIZfBG8lUnhgpg/edit?usp=sharing"",""Agencies With Number of Deals A!A:K""),9,0)"),"83774449")</f>
        <v>83774449</v>
      </c>
      <c r="E62" s="4" t="s">
        <v>9</v>
      </c>
      <c r="F62" s="6">
        <v>46037</v>
      </c>
      <c r="G62" s="4" t="s">
        <v>10</v>
      </c>
      <c r="H62" s="7">
        <v>9009.5400000000009</v>
      </c>
    </row>
    <row r="63" spans="1:8" ht="12.75" x14ac:dyDescent="0.2">
      <c r="A63" s="4">
        <v>16086102451</v>
      </c>
      <c r="B63" s="4" t="s">
        <v>83</v>
      </c>
      <c r="C63" s="5" t="str">
        <f ca="1">IFERROR(__xludf.DUMMYFUNCTION("VLOOKUP(A63,IMPORTRANGE(""https://docs.google.com/spreadsheets/d/1YTzKr_K5JRaPNV_4z6w8eq_6U9Z-8UIZfBG8lUnhgpg/edit?usp=sharing"",""Agencies With Number of Deals A!A:K""),10,0)"),"071921891")</f>
        <v>071921891</v>
      </c>
      <c r="D63" s="5" t="str">
        <f ca="1">IFERROR(__xludf.DUMMYFUNCTION("VLOOKUP(A63,IMPORTRANGE(""https://docs.google.com/spreadsheets/d/1YTzKr_K5JRaPNV_4z6w8eq_6U9Z-8UIZfBG8lUnhgpg/edit?usp=sharing"",""Agencies With Number of Deals A!A:K""),9,0)"),"4720333776")</f>
        <v>4720333776</v>
      </c>
      <c r="E63" s="4" t="s">
        <v>9</v>
      </c>
      <c r="F63" s="6">
        <v>46037</v>
      </c>
      <c r="G63" s="4" t="s">
        <v>10</v>
      </c>
      <c r="H63" s="7">
        <v>592.78800000000001</v>
      </c>
    </row>
    <row r="64" spans="1:8" ht="12.75" x14ac:dyDescent="0.2">
      <c r="A64" s="4">
        <v>6749096538</v>
      </c>
      <c r="B64" s="4" t="s">
        <v>84</v>
      </c>
      <c r="C64" s="5" t="str">
        <f ca="1">IFERROR(__xludf.DUMMYFUNCTION("VLOOKUP(A64,IMPORTRANGE(""https://docs.google.com/spreadsheets/d/1YTzKr_K5JRaPNV_4z6w8eq_6U9Z-8UIZfBG8lUnhgpg/edit?usp=sharing"",""Agencies With Number of Deals A!A:K""),10,0)"),"074908594")</f>
        <v>074908594</v>
      </c>
      <c r="D64" s="5" t="str">
        <f ca="1">IFERROR(__xludf.DUMMYFUNCTION("VLOOKUP(A64,IMPORTRANGE(""https://docs.google.com/spreadsheets/d/1YTzKr_K5JRaPNV_4z6w8eq_6U9Z-8UIZfBG8lUnhgpg/edit?usp=sharing"",""Agencies With Number of Deals A!A:K""),9,0)"),"7650266591")</f>
        <v>7650266591</v>
      </c>
      <c r="E64" s="4" t="s">
        <v>9</v>
      </c>
      <c r="F64" s="6">
        <v>46037</v>
      </c>
      <c r="G64" s="4" t="s">
        <v>10</v>
      </c>
      <c r="H64" s="7">
        <v>2483.62</v>
      </c>
    </row>
    <row r="65" spans="1:8" ht="12.75" x14ac:dyDescent="0.2">
      <c r="A65" s="4">
        <v>16755090264</v>
      </c>
      <c r="B65" s="4" t="s">
        <v>85</v>
      </c>
      <c r="C65" s="5" t="str">
        <f ca="1">IFERROR(__xludf.DUMMYFUNCTION("VLOOKUP(A65,IMPORTRANGE(""https://docs.google.com/spreadsheets/d/1YTzKr_K5JRaPNV_4z6w8eq_6U9Z-8UIZfBG8lUnhgpg/edit?usp=sharing"",""Agencies With Number of Deals A!A:K""),10,0)"),"102306699")</f>
        <v>102306699</v>
      </c>
      <c r="D65" s="5" t="str">
        <f ca="1">IFERROR(__xludf.DUMMYFUNCTION("VLOOKUP(A65,IMPORTRANGE(""https://docs.google.com/spreadsheets/d/1YTzKr_K5JRaPNV_4z6w8eq_6U9Z-8UIZfBG8lUnhgpg/edit?usp=sharing"",""Agencies With Number of Deals A!A:K""),9,0)"),"2077000301")</f>
        <v>2077000301</v>
      </c>
      <c r="E65" s="4" t="s">
        <v>9</v>
      </c>
      <c r="F65" s="6">
        <v>46037</v>
      </c>
      <c r="G65" s="4" t="s">
        <v>10</v>
      </c>
      <c r="H65" s="7">
        <v>181.62</v>
      </c>
    </row>
    <row r="66" spans="1:8" ht="12.75" x14ac:dyDescent="0.2">
      <c r="A66" s="4">
        <v>22758517657</v>
      </c>
      <c r="B66" s="4" t="s">
        <v>86</v>
      </c>
      <c r="C66" s="4" t="s">
        <v>87</v>
      </c>
      <c r="D66" s="4" t="s">
        <v>88</v>
      </c>
      <c r="E66" s="4" t="s">
        <v>9</v>
      </c>
      <c r="F66" s="6">
        <v>46037</v>
      </c>
      <c r="G66" s="4" t="s">
        <v>10</v>
      </c>
      <c r="H66" s="7">
        <v>309.83999999999997</v>
      </c>
    </row>
    <row r="67" spans="1:8" ht="12.75" x14ac:dyDescent="0.2">
      <c r="A67" s="4">
        <v>655590087</v>
      </c>
      <c r="B67" s="4" t="s">
        <v>89</v>
      </c>
      <c r="C67" s="5" t="str">
        <f ca="1">IFERROR(__xludf.DUMMYFUNCTION("VLOOKUP(A67,IMPORTRANGE(""https://docs.google.com/spreadsheets/d/1YTzKr_K5JRaPNV_4z6w8eq_6U9Z-8UIZfBG8lUnhgpg/edit?usp=sharing"",""Agencies With Number of Deals A!A:K""),10,0)"),"056004445")</f>
        <v>056004445</v>
      </c>
      <c r="D67" s="5" t="str">
        <f ca="1">IFERROR(__xludf.DUMMYFUNCTION("VLOOKUP(A67,IMPORTRANGE(""https://docs.google.com/spreadsheets/d/1YTzKr_K5JRaPNV_4z6w8eq_6U9Z-8UIZfBG8lUnhgpg/edit?usp=sharing"",""Agencies With Number of Deals A!A:K""),9,0)"),"85141032")</f>
        <v>85141032</v>
      </c>
      <c r="E67" s="4" t="s">
        <v>9</v>
      </c>
      <c r="F67" s="6">
        <v>46037</v>
      </c>
      <c r="G67" s="4" t="s">
        <v>10</v>
      </c>
      <c r="H67" s="7">
        <v>328.26</v>
      </c>
    </row>
    <row r="68" spans="1:8" ht="12.75" x14ac:dyDescent="0.2">
      <c r="A68" s="4">
        <v>23141766964</v>
      </c>
      <c r="B68" s="4" t="s">
        <v>90</v>
      </c>
      <c r="C68" s="5" t="str">
        <f ca="1">IFERROR(__xludf.DUMMYFUNCTION("VLOOKUP(A68,IMPORTRANGE(""https://docs.google.com/spreadsheets/d/1YTzKr_K5JRaPNV_4z6w8eq_6U9Z-8UIZfBG8lUnhgpg/edit?usp=sharing"",""Agencies With Number of Deals A!A:K""),10,0)"),"311978818")</f>
        <v>311978818</v>
      </c>
      <c r="D68" s="5" t="str">
        <f ca="1">IFERROR(__xludf.DUMMYFUNCTION("VLOOKUP(A68,IMPORTRANGE(""https://docs.google.com/spreadsheets/d/1YTzKr_K5JRaPNV_4z6w8eq_6U9Z-8UIZfBG8lUnhgpg/edit?usp=sharing"",""Agencies With Number of Deals A!A:K""),9,0)"),"200148609")</f>
        <v>200148609</v>
      </c>
      <c r="E68" s="4" t="s">
        <v>9</v>
      </c>
      <c r="F68" s="6">
        <v>46037</v>
      </c>
      <c r="G68" s="4" t="s">
        <v>10</v>
      </c>
      <c r="H68" s="7">
        <v>684.66</v>
      </c>
    </row>
    <row r="69" spans="1:8" ht="12.75" x14ac:dyDescent="0.2">
      <c r="A69" s="4">
        <v>1158946244</v>
      </c>
      <c r="B69" s="4" t="s">
        <v>91</v>
      </c>
      <c r="C69" s="5" t="str">
        <f ca="1">IFERROR(__xludf.DUMMYFUNCTION("VLOOKUP(A69,IMPORTRANGE(""https://docs.google.com/spreadsheets/d/1YTzKr_K5JRaPNV_4z6w8eq_6U9Z-8UIZfBG8lUnhgpg/edit?usp=sharing"",""Agencies With Number of Deals A!A:K""),10,0)"),"063107513")</f>
        <v>063107513</v>
      </c>
      <c r="D69" s="5" t="str">
        <f ca="1">IFERROR(__xludf.DUMMYFUNCTION("VLOOKUP(A69,IMPORTRANGE(""https://docs.google.com/spreadsheets/d/1YTzKr_K5JRaPNV_4z6w8eq_6U9Z-8UIZfBG8lUnhgpg/edit?usp=sharing"",""Agencies With Number of Deals A!A:K""),9,0)"),"9282869354")</f>
        <v>9282869354</v>
      </c>
      <c r="E69" s="4" t="s">
        <v>9</v>
      </c>
      <c r="F69" s="6">
        <v>46037</v>
      </c>
      <c r="G69" s="4" t="s">
        <v>10</v>
      </c>
      <c r="H69" s="7">
        <v>190.44</v>
      </c>
    </row>
    <row r="70" spans="1:8" ht="12.75" x14ac:dyDescent="0.2">
      <c r="A70" s="4">
        <v>18111157354</v>
      </c>
      <c r="B70" s="4" t="s">
        <v>92</v>
      </c>
      <c r="C70" s="5" t="str">
        <f ca="1">IFERROR(__xludf.DUMMYFUNCTION("VLOOKUP(A70,IMPORTRANGE(""https://docs.google.com/spreadsheets/d/1YTzKr_K5JRaPNV_4z6w8eq_6U9Z-8UIZfBG8lUnhgpg/edit?usp=sharing"",""Agencies With Number of Deals A!A:K""),10,0)"),"081505702")</f>
        <v>081505702</v>
      </c>
      <c r="D70" s="5" t="str">
        <f ca="1">IFERROR(__xludf.DUMMYFUNCTION("VLOOKUP(A70,IMPORTRANGE(""https://docs.google.com/spreadsheets/d/1YTzKr_K5JRaPNV_4z6w8eq_6U9Z-8UIZfBG8lUnhgpg/edit?usp=sharing"",""Agencies With Number of Deals A!A:K""),9,0)"),"1099178")</f>
        <v>1099178</v>
      </c>
      <c r="E70" s="4" t="s">
        <v>9</v>
      </c>
      <c r="F70" s="6">
        <v>46037</v>
      </c>
      <c r="G70" s="4" t="s">
        <v>10</v>
      </c>
      <c r="H70" s="7">
        <v>4262.12</v>
      </c>
    </row>
    <row r="71" spans="1:8" ht="12.75" x14ac:dyDescent="0.2">
      <c r="A71" s="4">
        <v>16998096400</v>
      </c>
      <c r="B71" s="4" t="s">
        <v>93</v>
      </c>
      <c r="C71" s="5" t="str">
        <f ca="1">IFERROR(__xludf.DUMMYFUNCTION("VLOOKUP(A71,IMPORTRANGE(""https://docs.google.com/spreadsheets/d/1YTzKr_K5JRaPNV_4z6w8eq_6U9Z-8UIZfBG8lUnhgpg/edit?usp=sharing"",""Agencies With Number of Deals A!A:K""),10,0)"),"081000210")</f>
        <v>081000210</v>
      </c>
      <c r="D71" s="5" t="str">
        <f ca="1">IFERROR(__xludf.DUMMYFUNCTION("VLOOKUP(A71,IMPORTRANGE(""https://docs.google.com/spreadsheets/d/1YTzKr_K5JRaPNV_4z6w8eq_6U9Z-8UIZfBG8lUnhgpg/edit?usp=sharing"",""Agencies With Number of Deals A!A:K""),9,0)"),"152311578966")</f>
        <v>152311578966</v>
      </c>
      <c r="E71" s="4" t="s">
        <v>9</v>
      </c>
      <c r="F71" s="6">
        <v>46037</v>
      </c>
      <c r="G71" s="4" t="s">
        <v>10</v>
      </c>
      <c r="H71" s="7">
        <v>101.82</v>
      </c>
    </row>
    <row r="72" spans="1:8" ht="12.75" x14ac:dyDescent="0.2">
      <c r="A72" s="4">
        <v>5350022259</v>
      </c>
      <c r="B72" s="4" t="s">
        <v>94</v>
      </c>
      <c r="C72" s="5" t="str">
        <f ca="1">IFERROR(__xludf.DUMMYFUNCTION("VLOOKUP(A72,IMPORTRANGE(""https://docs.google.com/spreadsheets/d/1YTzKr_K5JRaPNV_4z6w8eq_6U9Z-8UIZfBG8lUnhgpg/edit?usp=sharing"",""Agencies With Number of Deals A!A:K""),10,0)"),"102000076")</f>
        <v>102000076</v>
      </c>
      <c r="D72" s="5" t="str">
        <f ca="1">IFERROR(__xludf.DUMMYFUNCTION("VLOOKUP(A72,IMPORTRANGE(""https://docs.google.com/spreadsheets/d/1YTzKr_K5JRaPNV_4z6w8eq_6U9Z-8UIZfBG8lUnhgpg/edit?usp=sharing"",""Agencies With Number of Deals A!A:K""),9,0)"),"1505661593")</f>
        <v>1505661593</v>
      </c>
      <c r="E72" s="4" t="s">
        <v>9</v>
      </c>
      <c r="F72" s="6">
        <v>46037</v>
      </c>
      <c r="G72" s="4" t="s">
        <v>10</v>
      </c>
      <c r="H72" s="7">
        <v>1452.6</v>
      </c>
    </row>
    <row r="73" spans="1:8" ht="12.75" x14ac:dyDescent="0.2">
      <c r="A73" s="4">
        <v>655581830</v>
      </c>
      <c r="B73" s="4" t="s">
        <v>95</v>
      </c>
      <c r="C73" s="5" t="str">
        <f ca="1">IFERROR(__xludf.DUMMYFUNCTION("VLOOKUP(A73,IMPORTRANGE(""https://docs.google.com/spreadsheets/d/1YTzKr_K5JRaPNV_4z6w8eq_6U9Z-8UIZfBG8lUnhgpg/edit?usp=sharing"",""Agencies With Number of Deals A!A:K""),10,0)"),"083009060")</f>
        <v>083009060</v>
      </c>
      <c r="D73" s="5" t="str">
        <f ca="1">IFERROR(__xludf.DUMMYFUNCTION("VLOOKUP(A73,IMPORTRANGE(""https://docs.google.com/spreadsheets/d/1YTzKr_K5JRaPNV_4z6w8eq_6U9Z-8UIZfBG8lUnhgpg/edit?usp=sharing"",""Agencies With Number of Deals A!A:K""),9,0)"),"3912953692")</f>
        <v>3912953692</v>
      </c>
      <c r="E73" s="4" t="s">
        <v>9</v>
      </c>
      <c r="F73" s="6">
        <v>46037</v>
      </c>
      <c r="G73" s="4" t="s">
        <v>10</v>
      </c>
      <c r="H73" s="7">
        <v>1413.44</v>
      </c>
    </row>
    <row r="74" spans="1:8" ht="12.75" x14ac:dyDescent="0.2">
      <c r="A74" s="4">
        <v>15845775435</v>
      </c>
      <c r="B74" s="4" t="s">
        <v>96</v>
      </c>
      <c r="C74" s="5" t="str">
        <f ca="1">IFERROR(__xludf.DUMMYFUNCTION("VLOOKUP(A74,IMPORTRANGE(""https://docs.google.com/spreadsheets/d/1YTzKr_K5JRaPNV_4z6w8eq_6U9Z-8UIZfBG8lUnhgpg/edit?usp=sharing"",""Agencies With Number of Deals A!A:K""),10,0)"),"325070980")</f>
        <v>325070980</v>
      </c>
      <c r="D74" s="5" t="str">
        <f ca="1">IFERROR(__xludf.DUMMYFUNCTION("VLOOKUP(A74,IMPORTRANGE(""https://docs.google.com/spreadsheets/d/1YTzKr_K5JRaPNV_4z6w8eq_6U9Z-8UIZfBG8lUnhgpg/edit?usp=sharing"",""Agencies With Number of Deals A!A:K""),9,0)"),"0137006136")</f>
        <v>0137006136</v>
      </c>
      <c r="E74" s="4" t="s">
        <v>9</v>
      </c>
      <c r="F74" s="6">
        <v>46037</v>
      </c>
      <c r="G74" s="4" t="s">
        <v>10</v>
      </c>
      <c r="H74" s="7">
        <v>432.4</v>
      </c>
    </row>
    <row r="75" spans="1:8" ht="12.75" x14ac:dyDescent="0.2">
      <c r="A75" s="4">
        <v>36311566898</v>
      </c>
      <c r="B75" s="4" t="s">
        <v>97</v>
      </c>
      <c r="C75" s="5" t="str">
        <f ca="1">IFERROR(__xludf.DUMMYFUNCTION("VLOOKUP(A75,IMPORTRANGE(""https://docs.google.com/spreadsheets/d/1YTzKr_K5JRaPNV_4z6w8eq_6U9Z-8UIZfBG8lUnhgpg/edit?usp=sharing"",""Agencies With Number of Deals A!A:K""),10,0)"),"122105155")</f>
        <v>122105155</v>
      </c>
      <c r="D75" s="5" t="str">
        <f ca="1">IFERROR(__xludf.DUMMYFUNCTION("VLOOKUP(A75,IMPORTRANGE(""https://docs.google.com/spreadsheets/d/1YTzKr_K5JRaPNV_4z6w8eq_6U9Z-8UIZfBG8lUnhgpg/edit?usp=sharing"",""Agencies With Number of Deals A!A:K""),9,0)"),"151706997096")</f>
        <v>151706997096</v>
      </c>
      <c r="E75" s="4" t="s">
        <v>9</v>
      </c>
      <c r="F75" s="6">
        <v>46037</v>
      </c>
      <c r="G75" s="4" t="s">
        <v>10</v>
      </c>
      <c r="H75" s="7">
        <v>1174.5</v>
      </c>
    </row>
    <row r="76" spans="1:8" ht="12.75" x14ac:dyDescent="0.2">
      <c r="A76" s="4">
        <v>17924911364</v>
      </c>
      <c r="B76" s="4" t="s">
        <v>98</v>
      </c>
      <c r="C76" s="4" t="s">
        <v>99</v>
      </c>
      <c r="D76" s="4" t="s">
        <v>100</v>
      </c>
      <c r="E76" s="4" t="s">
        <v>9</v>
      </c>
      <c r="F76" s="6">
        <v>46037</v>
      </c>
      <c r="G76" s="4" t="s">
        <v>10</v>
      </c>
      <c r="H76" s="7">
        <v>2936.34</v>
      </c>
    </row>
    <row r="77" spans="1:8" ht="12.75" x14ac:dyDescent="0.2">
      <c r="A77" s="4">
        <v>670826503</v>
      </c>
      <c r="B77" s="4" t="s">
        <v>101</v>
      </c>
      <c r="C77" s="5" t="str">
        <f ca="1">IFERROR(__xludf.DUMMYFUNCTION("VLOOKUP(A77,IMPORTRANGE(""https://docs.google.com/spreadsheets/d/1YTzKr_K5JRaPNV_4z6w8eq_6U9Z-8UIZfBG8lUnhgpg/edit?usp=sharing"",""Agencies With Number of Deals A!A:K""),10,0)"),"111300958")</f>
        <v>111300958</v>
      </c>
      <c r="D77" s="5" t="str">
        <f ca="1">IFERROR(__xludf.DUMMYFUNCTION("VLOOKUP(A77,IMPORTRANGE(""https://docs.google.com/spreadsheets/d/1YTzKr_K5JRaPNV_4z6w8eq_6U9Z-8UIZfBG8lUnhgpg/edit?usp=sharing"",""Agencies With Number of Deals A!A:K""),9,0)"),"60081485")</f>
        <v>60081485</v>
      </c>
      <c r="E77" s="4" t="s">
        <v>9</v>
      </c>
      <c r="F77" s="6">
        <v>46037</v>
      </c>
      <c r="G77" s="4" t="s">
        <v>10</v>
      </c>
      <c r="H77" s="7">
        <v>5154.4799999999996</v>
      </c>
    </row>
    <row r="78" spans="1:8" ht="12.75" x14ac:dyDescent="0.2">
      <c r="A78" s="4">
        <v>655590237</v>
      </c>
      <c r="B78" s="4" t="s">
        <v>102</v>
      </c>
      <c r="C78" s="5" t="str">
        <f ca="1">IFERROR(__xludf.DUMMYFUNCTION("VLOOKUP(A78,IMPORTRANGE(""https://docs.google.com/spreadsheets/d/1YTzKr_K5JRaPNV_4z6w8eq_6U9Z-8UIZfBG8lUnhgpg/edit?usp=sharing"",""Agencies With Number of Deals A!A:K""),10,0)"),"021000021")</f>
        <v>021000021</v>
      </c>
      <c r="D78" s="5" t="str">
        <f ca="1">IFERROR(__xludf.DUMMYFUNCTION("VLOOKUP(A78,IMPORTRANGE(""https://docs.google.com/spreadsheets/d/1YTzKr_K5JRaPNV_4z6w8eq_6U9Z-8UIZfBG8lUnhgpg/edit?usp=sharing"",""Agencies With Number of Deals A!A:K""),9,0)"),"207695850")</f>
        <v>207695850</v>
      </c>
      <c r="E78" s="4" t="s">
        <v>9</v>
      </c>
      <c r="F78" s="6">
        <v>46037</v>
      </c>
      <c r="G78" s="4" t="s">
        <v>10</v>
      </c>
      <c r="H78" s="7">
        <v>1889.52</v>
      </c>
    </row>
    <row r="79" spans="1:8" ht="12.75" x14ac:dyDescent="0.2">
      <c r="A79" s="4">
        <v>4794992652</v>
      </c>
      <c r="B79" s="4" t="s">
        <v>103</v>
      </c>
      <c r="C79" s="5" t="str">
        <f ca="1">IFERROR(__xludf.DUMMYFUNCTION("VLOOKUP(A79,IMPORTRANGE(""https://docs.google.com/spreadsheets/d/1YTzKr_K5JRaPNV_4z6w8eq_6U9Z-8UIZfBG8lUnhgpg/edit?usp=sharing"",""Agencies With Number of Deals A!A:K""),10,0)"),"124001545")</f>
        <v>124001545</v>
      </c>
      <c r="D79" s="5" t="str">
        <f ca="1">IFERROR(__xludf.DUMMYFUNCTION("VLOOKUP(A79,IMPORTRANGE(""https://docs.google.com/spreadsheets/d/1YTzKr_K5JRaPNV_4z6w8eq_6U9Z-8UIZfBG8lUnhgpg/edit?usp=sharing"",""Agencies With Number of Deals A!A:K""),9,0)"),"633847132")</f>
        <v>633847132</v>
      </c>
      <c r="E79" s="4" t="s">
        <v>9</v>
      </c>
      <c r="F79" s="6">
        <v>46037</v>
      </c>
      <c r="G79" s="4" t="s">
        <v>10</v>
      </c>
      <c r="H79" s="7">
        <v>3404.7719999999999</v>
      </c>
    </row>
    <row r="80" spans="1:8" ht="12.75" x14ac:dyDescent="0.2">
      <c r="A80" s="4">
        <v>6796935338</v>
      </c>
      <c r="B80" s="4" t="s">
        <v>104</v>
      </c>
      <c r="C80" s="5" t="str">
        <f ca="1">IFERROR(__xludf.DUMMYFUNCTION("VLOOKUP(A80,IMPORTRANGE(""https://docs.google.com/spreadsheets/d/1YTzKr_K5JRaPNV_4z6w8eq_6U9Z-8UIZfBG8lUnhgpg/edit?usp=sharing"",""Agencies With Number of Deals A!A:K""),10,0)"),"122101706")</f>
        <v>122101706</v>
      </c>
      <c r="D80" s="5" t="str">
        <f ca="1">IFERROR(__xludf.DUMMYFUNCTION("VLOOKUP(A80,IMPORTRANGE(""https://docs.google.com/spreadsheets/d/1YTzKr_K5JRaPNV_4z6w8eq_6U9Z-8UIZfBG8lUnhgpg/edit?usp=sharing"",""Agencies With Number of Deals A!A:K""),9,0)"),"004671376431")</f>
        <v>004671376431</v>
      </c>
      <c r="E80" s="4" t="s">
        <v>9</v>
      </c>
      <c r="F80" s="6">
        <v>46037</v>
      </c>
      <c r="G80" s="4" t="s">
        <v>10</v>
      </c>
      <c r="H80" s="7">
        <v>2889.58</v>
      </c>
    </row>
    <row r="81" spans="1:8" ht="12.75" x14ac:dyDescent="0.2">
      <c r="A81" s="4">
        <v>15980982439</v>
      </c>
      <c r="B81" s="4" t="s">
        <v>105</v>
      </c>
      <c r="C81" s="5" t="str">
        <f ca="1">IFERROR(__xludf.DUMMYFUNCTION("VLOOKUP(A81,IMPORTRANGE(""https://docs.google.com/spreadsheets/d/1YTzKr_K5JRaPNV_4z6w8eq_6U9Z-8UIZfBG8lUnhgpg/edit?usp=sharing"",""Agencies With Number of Deals A!A:K""),10,0)"),"122100024")</f>
        <v>122100024</v>
      </c>
      <c r="D81" s="5" t="str">
        <f ca="1">IFERROR(__xludf.DUMMYFUNCTION("VLOOKUP(A81,IMPORTRANGE(""https://docs.google.com/spreadsheets/d/1YTzKr_K5JRaPNV_4z6w8eq_6U9Z-8UIZfBG8lUnhgpg/edit?usp=sharing"",""Agencies With Number of Deals A!A:K""),9,0)"),"337285289")</f>
        <v>337285289</v>
      </c>
      <c r="E81" s="4" t="s">
        <v>9</v>
      </c>
      <c r="F81" s="6">
        <v>46037</v>
      </c>
      <c r="G81" s="4" t="s">
        <v>10</v>
      </c>
      <c r="H81" s="7">
        <v>2908.14</v>
      </c>
    </row>
    <row r="82" spans="1:8" ht="12.75" x14ac:dyDescent="0.2">
      <c r="A82" s="4">
        <v>16182143326</v>
      </c>
      <c r="B82" s="4" t="s">
        <v>106</v>
      </c>
      <c r="C82" s="5" t="str">
        <f ca="1">IFERROR(__xludf.DUMMYFUNCTION("VLOOKUP(A82,IMPORTRANGE(""https://docs.google.com/spreadsheets/d/1YTzKr_K5JRaPNV_4z6w8eq_6U9Z-8UIZfBG8lUnhgpg/edit?usp=sharing"",""Agencies With Number of Deals A!A:K""),10,0)"),"124000054")</f>
        <v>124000054</v>
      </c>
      <c r="D82" s="5" t="str">
        <f ca="1">IFERROR(__xludf.DUMMYFUNCTION("VLOOKUP(A82,IMPORTRANGE(""https://docs.google.com/spreadsheets/d/1YTzKr_K5JRaPNV_4z6w8eq_6U9Z-8UIZfBG8lUnhgpg/edit?usp=sharing"",""Agencies With Number of Deals A!A:K""),9,0)"),"985219229")</f>
        <v>985219229</v>
      </c>
      <c r="E82" s="4" t="s">
        <v>9</v>
      </c>
      <c r="F82" s="6">
        <v>46037</v>
      </c>
      <c r="G82" s="4" t="s">
        <v>10</v>
      </c>
      <c r="H82" s="7">
        <v>480.12</v>
      </c>
    </row>
    <row r="83" spans="1:8" ht="12.75" x14ac:dyDescent="0.2">
      <c r="A83" s="4">
        <v>15980952871</v>
      </c>
      <c r="B83" s="4" t="s">
        <v>107</v>
      </c>
      <c r="C83" s="5" t="str">
        <f ca="1">IFERROR(__xludf.DUMMYFUNCTION("VLOOKUP(A83,IMPORTRANGE(""https://docs.google.com/spreadsheets/d/1YTzKr_K5JRaPNV_4z6w8eq_6U9Z-8UIZfBG8lUnhgpg/edit?usp=sharing"",""Agencies With Number of Deals A!A:K""),10,0)"),"124302150")</f>
        <v>124302150</v>
      </c>
      <c r="D83" s="5" t="str">
        <f ca="1">IFERROR(__xludf.DUMMYFUNCTION("VLOOKUP(A83,IMPORTRANGE(""https://docs.google.com/spreadsheets/d/1YTzKr_K5JRaPNV_4z6w8eq_6U9Z-8UIZfBG8lUnhgpg/edit?usp=sharing"",""Agencies With Number of Deals A!A:K""),9,0)"),"153155409292")</f>
        <v>153155409292</v>
      </c>
      <c r="E83" s="4" t="s">
        <v>9</v>
      </c>
      <c r="F83" s="6">
        <v>46037</v>
      </c>
      <c r="G83" s="4" t="s">
        <v>10</v>
      </c>
      <c r="H83" s="7">
        <v>857.19</v>
      </c>
    </row>
    <row r="84" spans="1:8" ht="12.75" x14ac:dyDescent="0.2">
      <c r="A84" s="4">
        <v>16791275787</v>
      </c>
      <c r="B84" s="4" t="s">
        <v>108</v>
      </c>
      <c r="C84" s="5" t="str">
        <f ca="1">IFERROR(__xludf.DUMMYFUNCTION("VLOOKUP(A84,IMPORTRANGE(""https://docs.google.com/spreadsheets/d/1YTzKr_K5JRaPNV_4z6w8eq_6U9Z-8UIZfBG8lUnhgpg/edit?usp=sharing"",""Agencies With Number of Deals A!A:K""),10,0)"),"111000025")</f>
        <v>111000025</v>
      </c>
      <c r="D84" s="5" t="str">
        <f ca="1">IFERROR(__xludf.DUMMYFUNCTION("VLOOKUP(A84,IMPORTRANGE(""https://docs.google.com/spreadsheets/d/1YTzKr_K5JRaPNV_4z6w8eq_6U9Z-8UIZfBG8lUnhgpg/edit?usp=sharing"",""Agencies With Number of Deals A!A:K""),9,0)"),"488105296917")</f>
        <v>488105296917</v>
      </c>
      <c r="E84" s="4" t="s">
        <v>9</v>
      </c>
      <c r="F84" s="6">
        <v>46037</v>
      </c>
      <c r="G84" s="4" t="s">
        <v>10</v>
      </c>
      <c r="H84" s="7">
        <v>661.32</v>
      </c>
    </row>
    <row r="85" spans="1:8" ht="12.75" x14ac:dyDescent="0.2">
      <c r="A85" s="4">
        <v>15980024978</v>
      </c>
      <c r="B85" s="4" t="s">
        <v>109</v>
      </c>
      <c r="C85" s="5" t="str">
        <f ca="1">IFERROR(__xludf.DUMMYFUNCTION("VLOOKUP(A85,IMPORTRANGE(""https://docs.google.com/spreadsheets/d/1YTzKr_K5JRaPNV_4z6w8eq_6U9Z-8UIZfBG8lUnhgpg/edit?usp=sharing"",""Agencies With Number of Deals A!A:K""),10,0)"),"111916724")</f>
        <v>111916724</v>
      </c>
      <c r="D85" s="5" t="str">
        <f ca="1">IFERROR(__xludf.DUMMYFUNCTION("VLOOKUP(A85,IMPORTRANGE(""https://docs.google.com/spreadsheets/d/1YTzKr_K5JRaPNV_4z6w8eq_6U9Z-8UIZfBG8lUnhgpg/edit?usp=sharing"",""Agencies With Number of Deals A!A:K""),9,0)"),"0113837")</f>
        <v>0113837</v>
      </c>
      <c r="E85" s="4" t="s">
        <v>9</v>
      </c>
      <c r="F85" s="6">
        <v>46037</v>
      </c>
      <c r="G85" s="4" t="s">
        <v>10</v>
      </c>
      <c r="H85" s="7">
        <v>220.44</v>
      </c>
    </row>
    <row r="86" spans="1:8" ht="12.75" x14ac:dyDescent="0.2">
      <c r="A86" s="4">
        <v>655581706</v>
      </c>
      <c r="B86" s="4" t="s">
        <v>110</v>
      </c>
      <c r="C86" s="5" t="str">
        <f ca="1">IFERROR(__xludf.DUMMYFUNCTION("VLOOKUP(A86,IMPORTRANGE(""https://docs.google.com/spreadsheets/d/1YTzKr_K5JRaPNV_4z6w8eq_6U9Z-8UIZfBG8lUnhgpg/edit?usp=sharing"",""Agencies With Number of Deals A!A:K""),10,0)"),"071000013")</f>
        <v>071000013</v>
      </c>
      <c r="D86" s="5" t="str">
        <f ca="1">IFERROR(__xludf.DUMMYFUNCTION("VLOOKUP(A86,IMPORTRANGE(""https://docs.google.com/spreadsheets/d/1YTzKr_K5JRaPNV_4z6w8eq_6U9Z-8UIZfBG8lUnhgpg/edit?usp=sharing"",""Agencies With Number of Deals A!A:K""),9,0)"),"159808610")</f>
        <v>159808610</v>
      </c>
      <c r="E86" s="4" t="s">
        <v>9</v>
      </c>
      <c r="F86" s="6">
        <v>46037</v>
      </c>
      <c r="G86" s="4" t="s">
        <v>10</v>
      </c>
      <c r="H86" s="7">
        <v>149.31</v>
      </c>
    </row>
    <row r="87" spans="1:8" ht="12.75" x14ac:dyDescent="0.2">
      <c r="A87" s="4">
        <v>16086082712</v>
      </c>
      <c r="B87" s="4" t="s">
        <v>111</v>
      </c>
      <c r="C87" s="5" t="str">
        <f ca="1">IFERROR(__xludf.DUMMYFUNCTION("VLOOKUP(A87,IMPORTRANGE(""https://docs.google.com/spreadsheets/d/1YTzKr_K5JRaPNV_4z6w8eq_6U9Z-8UIZfBG8lUnhgpg/edit?usp=sharing"",""Agencies With Number of Deals A!A:K""),10,0)"),"071000013")</f>
        <v>071000013</v>
      </c>
      <c r="D87" s="5" t="str">
        <f ca="1">IFERROR(__xludf.DUMMYFUNCTION("VLOOKUP(A87,IMPORTRANGE(""https://docs.google.com/spreadsheets/d/1YTzKr_K5JRaPNV_4z6w8eq_6U9Z-8UIZfBG8lUnhgpg/edit?usp=sharing"",""Agencies With Number of Deals A!A:K""),9,0)"),"505028081")</f>
        <v>505028081</v>
      </c>
      <c r="E87" s="4" t="s">
        <v>9</v>
      </c>
      <c r="F87" s="6">
        <v>46037</v>
      </c>
      <c r="G87" s="4" t="s">
        <v>10</v>
      </c>
      <c r="H87" s="7">
        <v>149.31</v>
      </c>
    </row>
    <row r="88" spans="1:8" ht="12.75" x14ac:dyDescent="0.2">
      <c r="A88" s="4">
        <v>16086123705</v>
      </c>
      <c r="B88" s="4" t="s">
        <v>112</v>
      </c>
      <c r="C88" s="5" t="str">
        <f ca="1">IFERROR(__xludf.DUMMYFUNCTION("VLOOKUP(A88,IMPORTRANGE(""https://docs.google.com/spreadsheets/d/1YTzKr_K5JRaPNV_4z6w8eq_6U9Z-8UIZfBG8lUnhgpg/edit?usp=sharing"",""Agencies With Number of Deals A!A:K""),10,0)"),"307070267")</f>
        <v>307070267</v>
      </c>
      <c r="D88" s="5" t="str">
        <f ca="1">IFERROR(__xludf.DUMMYFUNCTION("VLOOKUP(A88,IMPORTRANGE(""https://docs.google.com/spreadsheets/d/1YTzKr_K5JRaPNV_4z6w8eq_6U9Z-8UIZfBG8lUnhgpg/edit?usp=sharing"",""Agencies With Number of Deals A!A:K""),9,0)"),"760141003060")</f>
        <v>760141003060</v>
      </c>
      <c r="E88" s="4" t="s">
        <v>9</v>
      </c>
      <c r="F88" s="6">
        <v>46037</v>
      </c>
      <c r="G88" s="4" t="s">
        <v>10</v>
      </c>
      <c r="H88" s="7">
        <v>5605.7</v>
      </c>
    </row>
    <row r="89" spans="1:8" ht="12.75" x14ac:dyDescent="0.2">
      <c r="A89" s="4">
        <v>7642419983</v>
      </c>
      <c r="B89" s="4" t="s">
        <v>113</v>
      </c>
      <c r="C89" s="5" t="str">
        <f ca="1">IFERROR(__xludf.DUMMYFUNCTION("VLOOKUP(A89,IMPORTRANGE(""https://docs.google.com/spreadsheets/d/1YTzKr_K5JRaPNV_4z6w8eq_6U9Z-8UIZfBG8lUnhgpg/edit?usp=sharing"",""Agencies With Number of Deals A!A:K""),10,0)"),"111000614")</f>
        <v>111000614</v>
      </c>
      <c r="D89" s="5" t="str">
        <f ca="1">IFERROR(__xludf.DUMMYFUNCTION("VLOOKUP(A89,IMPORTRANGE(""https://docs.google.com/spreadsheets/d/1YTzKr_K5JRaPNV_4z6w8eq_6U9Z-8UIZfBG8lUnhgpg/edit?usp=sharing"",""Agencies With Number of Deals A!A:K""),9,0)"),"133652270")</f>
        <v>133652270</v>
      </c>
      <c r="E89" s="4" t="s">
        <v>9</v>
      </c>
      <c r="F89" s="6">
        <v>46037</v>
      </c>
      <c r="G89" s="4" t="s">
        <v>10</v>
      </c>
      <c r="H89" s="7">
        <v>1546.88</v>
      </c>
    </row>
    <row r="90" spans="1:8" ht="12.75" x14ac:dyDescent="0.2">
      <c r="A90" s="4">
        <v>16554493489</v>
      </c>
      <c r="B90" s="4" t="s">
        <v>114</v>
      </c>
      <c r="C90" s="5" t="str">
        <f ca="1">IFERROR(__xludf.DUMMYFUNCTION("VLOOKUP(A90,IMPORTRANGE(""https://docs.google.com/spreadsheets/d/1YTzKr_K5JRaPNV_4z6w8eq_6U9Z-8UIZfBG8lUnhgpg/edit?usp=sharing"",""Agencies With Number of Deals A!A:K""),10,0)"),"021200025")</f>
        <v>021200025</v>
      </c>
      <c r="D90" s="5" t="str">
        <f ca="1">IFERROR(__xludf.DUMMYFUNCTION("VLOOKUP(A90,IMPORTRANGE(""https://docs.google.com/spreadsheets/d/1YTzKr_K5JRaPNV_4z6w8eq_6U9Z-8UIZfBG8lUnhgpg/edit?usp=sharing"",""Agencies With Number of Deals A!A:K""),9,0)"),"2707336513")</f>
        <v>2707336513</v>
      </c>
      <c r="E90" s="4" t="s">
        <v>9</v>
      </c>
      <c r="F90" s="6">
        <v>46037</v>
      </c>
      <c r="G90" s="4" t="s">
        <v>10</v>
      </c>
      <c r="H90" s="7">
        <v>855.6</v>
      </c>
    </row>
    <row r="91" spans="1:8" ht="12.75" x14ac:dyDescent="0.2">
      <c r="A91" s="4">
        <v>655583084</v>
      </c>
      <c r="B91" s="4" t="s">
        <v>115</v>
      </c>
      <c r="C91" s="5" t="str">
        <f ca="1">IFERROR(__xludf.DUMMYFUNCTION("VLOOKUP(A91,IMPORTRANGE(""https://docs.google.com/spreadsheets/d/1YTzKr_K5JRaPNV_4z6w8eq_6U9Z-8UIZfBG8lUnhgpg/edit?usp=sharing"",""Agencies With Number of Deals A!A:K""),10,0)"),"053101121")</f>
        <v>053101121</v>
      </c>
      <c r="D91" s="5" t="str">
        <f ca="1">IFERROR(__xludf.DUMMYFUNCTION("VLOOKUP(A91,IMPORTRANGE(""https://docs.google.com/spreadsheets/d/1YTzKr_K5JRaPNV_4z6w8eq_6U9Z-8UIZfBG8lUnhgpg/edit?usp=sharing"",""Agencies With Number of Deals A!A:K""),9,0)"),"1340011719588")</f>
        <v>1340011719588</v>
      </c>
      <c r="E91" s="4" t="s">
        <v>9</v>
      </c>
      <c r="F91" s="6">
        <v>46037</v>
      </c>
      <c r="G91" s="4" t="s">
        <v>10</v>
      </c>
      <c r="H91" s="7">
        <v>300.16000000000003</v>
      </c>
    </row>
    <row r="92" spans="1:8" ht="12.75" x14ac:dyDescent="0.2">
      <c r="A92" s="4">
        <v>671152236</v>
      </c>
      <c r="B92" s="4" t="s">
        <v>116</v>
      </c>
      <c r="C92" s="5" t="str">
        <f ca="1">IFERROR(__xludf.DUMMYFUNCTION("VLOOKUP(A92,IMPORTRANGE(""https://docs.google.com/spreadsheets/d/1YTzKr_K5JRaPNV_4z6w8eq_6U9Z-8UIZfBG8lUnhgpg/edit?usp=sharing"",""Agencies With Number of Deals A!A:K""),10,0)"),"122100024")</f>
        <v>122100024</v>
      </c>
      <c r="D92" s="5" t="str">
        <f ca="1">IFERROR(__xludf.DUMMYFUNCTION("VLOOKUP(A92,IMPORTRANGE(""https://docs.google.com/spreadsheets/d/1YTzKr_K5JRaPNV_4z6w8eq_6U9Z-8UIZfBG8lUnhgpg/edit?usp=sharing"",""Agencies With Number of Deals A!A:K""),9,0)"),"598790175")</f>
        <v>598790175</v>
      </c>
      <c r="E92" s="4" t="s">
        <v>9</v>
      </c>
      <c r="F92" s="6">
        <v>46037</v>
      </c>
      <c r="G92" s="4" t="s">
        <v>10</v>
      </c>
      <c r="H92" s="7">
        <v>187.62</v>
      </c>
    </row>
    <row r="93" spans="1:8" ht="12.75" x14ac:dyDescent="0.2">
      <c r="A93" s="4">
        <v>15981201847</v>
      </c>
      <c r="B93" s="4" t="s">
        <v>117</v>
      </c>
      <c r="C93" s="5" t="str">
        <f ca="1">IFERROR(__xludf.DUMMYFUNCTION("VLOOKUP(A93,IMPORTRANGE(""https://docs.google.com/spreadsheets/d/1YTzKr_K5JRaPNV_4z6w8eq_6U9Z-8UIZfBG8lUnhgpg/edit?usp=sharing"",""Agencies With Number of Deals A!A:K""),10,0)"),"063107513")</f>
        <v>063107513</v>
      </c>
      <c r="D93" s="5" t="str">
        <f ca="1">IFERROR(__xludf.DUMMYFUNCTION("VLOOKUP(A93,IMPORTRANGE(""https://docs.google.com/spreadsheets/d/1YTzKr_K5JRaPNV_4z6w8eq_6U9Z-8UIZfBG8lUnhgpg/edit?usp=sharing"",""Agencies With Number of Deals A!A:K""),9,0)"),"2000036858978")</f>
        <v>2000036858978</v>
      </c>
      <c r="E93" s="4" t="s">
        <v>9</v>
      </c>
      <c r="F93" s="6">
        <v>46037</v>
      </c>
      <c r="G93" s="4" t="s">
        <v>10</v>
      </c>
      <c r="H93" s="7">
        <v>26877.78</v>
      </c>
    </row>
    <row r="94" spans="1:8" ht="12.75" x14ac:dyDescent="0.2">
      <c r="A94" s="4">
        <v>15983636036</v>
      </c>
      <c r="B94" s="4" t="s">
        <v>118</v>
      </c>
      <c r="C94" s="5" t="str">
        <f ca="1">IFERROR(__xludf.DUMMYFUNCTION("VLOOKUP(A94,IMPORTRANGE(""https://docs.google.com/spreadsheets/d/1YTzKr_K5JRaPNV_4z6w8eq_6U9Z-8UIZfBG8lUnhgpg/edit?usp=sharing"",""Agencies With Number of Deals A!A:K""),10,0)"),"051408897")</f>
        <v>051408897</v>
      </c>
      <c r="D94" s="5" t="str">
        <f ca="1">IFERROR(__xludf.DUMMYFUNCTION("VLOOKUP(A94,IMPORTRANGE(""https://docs.google.com/spreadsheets/d/1YTzKr_K5JRaPNV_4z6w8eq_6U9Z-8UIZfBG8lUnhgpg/edit?usp=sharing"",""Agencies With Number of Deals A!A:K""),9,0)"),"80246689")</f>
        <v>80246689</v>
      </c>
      <c r="E94" s="4" t="s">
        <v>9</v>
      </c>
      <c r="F94" s="6">
        <v>46037</v>
      </c>
      <c r="G94" s="4" t="s">
        <v>10</v>
      </c>
      <c r="H94" s="7">
        <v>918.96</v>
      </c>
    </row>
    <row r="95" spans="1:8" ht="12.75" x14ac:dyDescent="0.2">
      <c r="A95" s="4">
        <v>15981053875</v>
      </c>
      <c r="B95" s="4" t="s">
        <v>119</v>
      </c>
      <c r="C95" s="5" t="str">
        <f ca="1">IFERROR(__xludf.DUMMYFUNCTION("VLOOKUP(A95,IMPORTRANGE(""https://docs.google.com/spreadsheets/d/1YTzKr_K5JRaPNV_4z6w8eq_6U9Z-8UIZfBG8lUnhgpg/edit?usp=sharing"",""Agencies With Number of Deals A!A:K""),10,0)"),"111000614")</f>
        <v>111000614</v>
      </c>
      <c r="D95" s="5" t="str">
        <f ca="1">IFERROR(__xludf.DUMMYFUNCTION("VLOOKUP(A95,IMPORTRANGE(""https://docs.google.com/spreadsheets/d/1YTzKr_K5JRaPNV_4z6w8eq_6U9Z-8UIZfBG8lUnhgpg/edit?usp=sharing"",""Agencies With Number of Deals A!A:K""),9,0)"),"717166386")</f>
        <v>717166386</v>
      </c>
      <c r="E95" s="4" t="s">
        <v>9</v>
      </c>
      <c r="F95" s="6">
        <v>46037</v>
      </c>
      <c r="G95" s="4" t="s">
        <v>10</v>
      </c>
      <c r="H95" s="7">
        <v>1892.44</v>
      </c>
    </row>
    <row r="96" spans="1:8" ht="12.75" x14ac:dyDescent="0.2">
      <c r="A96" s="4">
        <v>671151993</v>
      </c>
      <c r="B96" s="4" t="s">
        <v>120</v>
      </c>
      <c r="C96" s="5" t="str">
        <f ca="1">IFERROR(__xludf.DUMMYFUNCTION("VLOOKUP(A96,IMPORTRANGE(""https://docs.google.com/spreadsheets/d/1YTzKr_K5JRaPNV_4z6w8eq_6U9Z-8UIZfBG8lUnhgpg/edit?usp=sharing"",""Agencies With Number of Deals A!A:K""),10,0)"),"101000187")</f>
        <v>101000187</v>
      </c>
      <c r="D96" s="5" t="str">
        <f ca="1">IFERROR(__xludf.DUMMYFUNCTION("VLOOKUP(A96,IMPORTRANGE(""https://docs.google.com/spreadsheets/d/1YTzKr_K5JRaPNV_4z6w8eq_6U9Z-8UIZfBG8lUnhgpg/edit?usp=sharing"",""Agencies With Number of Deals A!A:K""),9,0)"),"145574970128")</f>
        <v>145574970128</v>
      </c>
      <c r="E96" s="4" t="s">
        <v>9</v>
      </c>
      <c r="F96" s="6">
        <v>46037</v>
      </c>
      <c r="G96" s="4" t="s">
        <v>10</v>
      </c>
      <c r="H96" s="7">
        <v>3394.66</v>
      </c>
    </row>
    <row r="97" spans="1:8" ht="12.75" x14ac:dyDescent="0.2">
      <c r="A97" s="4">
        <v>5247256637</v>
      </c>
      <c r="B97" s="4" t="s">
        <v>121</v>
      </c>
      <c r="C97" s="5" t="str">
        <f ca="1">IFERROR(__xludf.DUMMYFUNCTION("VLOOKUP(A97,IMPORTRANGE(""https://docs.google.com/spreadsheets/d/1YTzKr_K5JRaPNV_4z6w8eq_6U9Z-8UIZfBG8lUnhgpg/edit?usp=sharing"",""Agencies With Number of Deals A!A:K""),10,0)"),"061000104")</f>
        <v>061000104</v>
      </c>
      <c r="D97" s="5" t="str">
        <f ca="1">IFERROR(__xludf.DUMMYFUNCTION("VLOOKUP(A97,IMPORTRANGE(""https://docs.google.com/spreadsheets/d/1YTzKr_K5JRaPNV_4z6w8eq_6U9Z-8UIZfBG8lUnhgpg/edit?usp=sharing"",""Agencies With Number of Deals A!A:K""),9,0)"),"1000131758186")</f>
        <v>1000131758186</v>
      </c>
      <c r="E97" s="4" t="s">
        <v>9</v>
      </c>
      <c r="F97" s="6">
        <v>46037</v>
      </c>
      <c r="G97" s="4" t="s">
        <v>10</v>
      </c>
      <c r="H97" s="7">
        <v>2718.9</v>
      </c>
    </row>
    <row r="98" spans="1:8" ht="12.75" x14ac:dyDescent="0.2">
      <c r="A98" s="4">
        <v>5247232970</v>
      </c>
      <c r="B98" s="4" t="s">
        <v>122</v>
      </c>
      <c r="C98" s="5" t="str">
        <f ca="1">IFERROR(__xludf.DUMMYFUNCTION("VLOOKUP(A98,IMPORTRANGE(""https://docs.google.com/spreadsheets/d/1YTzKr_K5JRaPNV_4z6w8eq_6U9Z-8UIZfBG8lUnhgpg/edit?usp=sharing"",""Agencies With Number of Deals A!A:K""),10,0)"),"072000326")</f>
        <v>072000326</v>
      </c>
      <c r="D98" s="5" t="str">
        <f ca="1">IFERROR(__xludf.DUMMYFUNCTION("VLOOKUP(A98,IMPORTRANGE(""https://docs.google.com/spreadsheets/d/1YTzKr_K5JRaPNV_4z6w8eq_6U9Z-8UIZfBG8lUnhgpg/edit?usp=sharing"",""Agencies With Number of Deals A!A:K""),9,0)"),"533123300")</f>
        <v>533123300</v>
      </c>
      <c r="E98" s="4" t="s">
        <v>9</v>
      </c>
      <c r="F98" s="6">
        <v>46037</v>
      </c>
      <c r="G98" s="4" t="s">
        <v>10</v>
      </c>
      <c r="H98" s="7">
        <v>1253.3</v>
      </c>
    </row>
    <row r="99" spans="1:8" ht="12.75" x14ac:dyDescent="0.2">
      <c r="A99" s="4">
        <v>16755124790</v>
      </c>
      <c r="B99" s="4" t="s">
        <v>123</v>
      </c>
      <c r="C99" s="5" t="str">
        <f ca="1">IFERROR(__xludf.DUMMYFUNCTION("VLOOKUP(A99,IMPORTRANGE(""https://docs.google.com/spreadsheets/d/1YTzKr_K5JRaPNV_4z6w8eq_6U9Z-8UIZfBG8lUnhgpg/edit?usp=sharing"",""Agencies With Number of Deals A!A:K""),10,0)"),"071102568")</f>
        <v>071102568</v>
      </c>
      <c r="D99" s="5" t="str">
        <f ca="1">IFERROR(__xludf.DUMMYFUNCTION("VLOOKUP(A99,IMPORTRANGE(""https://docs.google.com/spreadsheets/d/1YTzKr_K5JRaPNV_4z6w8eq_6U9Z-8UIZfBG8lUnhgpg/edit?usp=sharing"",""Agencies With Number of Deals A!A:K""),9,0)"),"500600275")</f>
        <v>500600275</v>
      </c>
      <c r="E99" s="4" t="s">
        <v>9</v>
      </c>
      <c r="F99" s="6">
        <v>46037</v>
      </c>
      <c r="G99" s="4" t="s">
        <v>10</v>
      </c>
      <c r="H99" s="7">
        <v>52.38</v>
      </c>
    </row>
    <row r="100" spans="1:8" ht="12.75" x14ac:dyDescent="0.2">
      <c r="A100" s="4">
        <v>16086102454</v>
      </c>
      <c r="B100" s="4" t="s">
        <v>124</v>
      </c>
      <c r="C100" s="5" t="str">
        <f ca="1">IFERROR(__xludf.DUMMYFUNCTION("VLOOKUP(A100,IMPORTRANGE(""https://docs.google.com/spreadsheets/d/1YTzKr_K5JRaPNV_4z6w8eq_6U9Z-8UIZfBG8lUnhgpg/edit?usp=sharing"",""Agencies With Number of Deals A!A:K""),10,0)"),"113011258")</f>
        <v>113011258</v>
      </c>
      <c r="D100" s="5" t="str">
        <f ca="1">IFERROR(__xludf.DUMMYFUNCTION("VLOOKUP(A100,IMPORTRANGE(""https://docs.google.com/spreadsheets/d/1YTzKr_K5JRaPNV_4z6w8eq_6U9Z-8UIZfBG8lUnhgpg/edit?usp=sharing"",""Agencies With Number of Deals A!A:K""),9,0)"),"5796623527")</f>
        <v>5796623527</v>
      </c>
      <c r="E100" s="4" t="s">
        <v>9</v>
      </c>
      <c r="F100" s="6">
        <v>46037</v>
      </c>
      <c r="G100" s="4" t="s">
        <v>10</v>
      </c>
      <c r="H100" s="7">
        <v>465.54</v>
      </c>
    </row>
    <row r="101" spans="1:8" ht="12.75" x14ac:dyDescent="0.2">
      <c r="A101" s="4">
        <v>32860967469</v>
      </c>
      <c r="B101" s="4" t="s">
        <v>125</v>
      </c>
      <c r="C101" s="5" t="str">
        <f ca="1">IFERROR(__xludf.DUMMYFUNCTION("VLOOKUP(A101,IMPORTRANGE(""https://docs.google.com/spreadsheets/d/1YTzKr_K5JRaPNV_4z6w8eq_6U9Z-8UIZfBG8lUnhgpg/edit?usp=sharing"",""Agencies With Number of Deals A!A:K""),10,0)"),"036001808")</f>
        <v>036001808</v>
      </c>
      <c r="D101" s="5" t="str">
        <f ca="1">IFERROR(__xludf.DUMMYFUNCTION("VLOOKUP(A101,IMPORTRANGE(""https://docs.google.com/spreadsheets/d/1YTzKr_K5JRaPNV_4z6w8eq_6U9Z-8UIZfBG8lUnhgpg/edit?usp=sharing"",""Agencies With Number of Deals A!A:K""),9,0)"),"4372479373")</f>
        <v>4372479373</v>
      </c>
      <c r="E101" s="4" t="s">
        <v>9</v>
      </c>
      <c r="F101" s="6">
        <v>46037</v>
      </c>
      <c r="G101" s="4" t="s">
        <v>10</v>
      </c>
      <c r="H101" s="7">
        <v>283.8</v>
      </c>
    </row>
    <row r="102" spans="1:8" ht="12.75" x14ac:dyDescent="0.2">
      <c r="A102" s="4">
        <v>21825126715</v>
      </c>
      <c r="B102" s="4" t="s">
        <v>126</v>
      </c>
      <c r="C102" s="5" t="str">
        <f ca="1">IFERROR(__xludf.DUMMYFUNCTION("VLOOKUP(A102,IMPORTRANGE(""https://docs.google.com/spreadsheets/d/1YTzKr_K5JRaPNV_4z6w8eq_6U9Z-8UIZfBG8lUnhgpg/edit?usp=sharing"",""Agencies With Number of Deals A!A:K""),10,0)"),"116312873")</f>
        <v>116312873</v>
      </c>
      <c r="D102" s="5" t="str">
        <f ca="1">IFERROR(__xludf.DUMMYFUNCTION("VLOOKUP(A102,IMPORTRANGE(""https://docs.google.com/spreadsheets/d/1YTzKr_K5JRaPNV_4z6w8eq_6U9Z-8UIZfBG8lUnhgpg/edit?usp=sharing"",""Agencies With Number of Deals A!A:K""),9,0)"),"10618732")</f>
        <v>10618732</v>
      </c>
      <c r="E102" s="4" t="s">
        <v>9</v>
      </c>
      <c r="F102" s="6">
        <v>46037</v>
      </c>
      <c r="G102" s="4" t="s">
        <v>10</v>
      </c>
      <c r="H102" s="7">
        <v>8666.16</v>
      </c>
    </row>
    <row r="103" spans="1:8" ht="12.75" x14ac:dyDescent="0.2">
      <c r="A103" s="4">
        <v>17442672943</v>
      </c>
      <c r="B103" s="4" t="s">
        <v>127</v>
      </c>
      <c r="C103" s="5" t="str">
        <f ca="1">IFERROR(__xludf.DUMMYFUNCTION("VLOOKUP(A103,IMPORTRANGE(""https://docs.google.com/spreadsheets/d/1YTzKr_K5JRaPNV_4z6w8eq_6U9Z-8UIZfBG8lUnhgpg/edit?usp=sharing"",""Agencies With Number of Deals A!A:K""),10,0)"),"042212568")</f>
        <v>042212568</v>
      </c>
      <c r="D103" s="5" t="str">
        <f ca="1">IFERROR(__xludf.DUMMYFUNCTION("VLOOKUP(A103,IMPORTRANGE(""https://docs.google.com/spreadsheets/d/1YTzKr_K5JRaPNV_4z6w8eq_6U9Z-8UIZfBG8lUnhgpg/edit?usp=sharing"",""Agencies With Number of Deals A!A:K""),9,0)"),"400211138")</f>
        <v>400211138</v>
      </c>
      <c r="E103" s="4" t="s">
        <v>9</v>
      </c>
      <c r="F103" s="6">
        <v>46037</v>
      </c>
      <c r="G103" s="4" t="s">
        <v>10</v>
      </c>
      <c r="H103" s="7">
        <v>214.8</v>
      </c>
    </row>
    <row r="104" spans="1:8" ht="12.75" x14ac:dyDescent="0.2">
      <c r="A104" s="4">
        <v>1703820267</v>
      </c>
      <c r="B104" s="4" t="s">
        <v>128</v>
      </c>
      <c r="C104" s="5" t="str">
        <f ca="1">IFERROR(__xludf.DUMMYFUNCTION("VLOOKUP(A104,IMPORTRANGE(""https://docs.google.com/spreadsheets/d/1YTzKr_K5JRaPNV_4z6w8eq_6U9Z-8UIZfBG8lUnhgpg/edit?usp=sharing"",""Agencies With Number of Deals A!A:K""),10,0)"),"321270742")</f>
        <v>321270742</v>
      </c>
      <c r="D104" s="5" t="str">
        <f ca="1">IFERROR(__xludf.DUMMYFUNCTION("VLOOKUP(A104,IMPORTRANGE(""https://docs.google.com/spreadsheets/d/1YTzKr_K5JRaPNV_4z6w8eq_6U9Z-8UIZfBG8lUnhgpg/edit?usp=sharing"",""Agencies With Number of Deals A!A:K""),9,0)"),"9957498901")</f>
        <v>9957498901</v>
      </c>
      <c r="E104" s="4" t="s">
        <v>9</v>
      </c>
      <c r="F104" s="6">
        <v>46037</v>
      </c>
      <c r="G104" s="4" t="s">
        <v>10</v>
      </c>
      <c r="H104" s="7">
        <v>129.87</v>
      </c>
    </row>
    <row r="105" spans="1:8" ht="12.75" x14ac:dyDescent="0.2">
      <c r="A105" s="4">
        <v>15981007926</v>
      </c>
      <c r="B105" s="4" t="s">
        <v>129</v>
      </c>
      <c r="C105" s="5" t="str">
        <f ca="1">IFERROR(__xludf.DUMMYFUNCTION("VLOOKUP(A105,IMPORTRANGE(""https://docs.google.com/spreadsheets/d/1YTzKr_K5JRaPNV_4z6w8eq_6U9Z-8UIZfBG8lUnhgpg/edit?usp=sharing"",""Agencies With Number of Deals A!A:K""),10,0)"),"291172637")</f>
        <v>291172637</v>
      </c>
      <c r="D105" s="5" t="str">
        <f ca="1">IFERROR(__xludf.DUMMYFUNCTION("VLOOKUP(A105,IMPORTRANGE(""https://docs.google.com/spreadsheets/d/1YTzKr_K5JRaPNV_4z6w8eq_6U9Z-8UIZfBG8lUnhgpg/edit?usp=sharing"",""Agencies With Number of Deals A!A:K""),9,0)"),"40079")</f>
        <v>40079</v>
      </c>
      <c r="E105" s="4" t="s">
        <v>9</v>
      </c>
      <c r="F105" s="6">
        <v>46037</v>
      </c>
      <c r="G105" s="4" t="s">
        <v>10</v>
      </c>
      <c r="H105" s="7">
        <v>129.87</v>
      </c>
    </row>
    <row r="106" spans="1:8" ht="12.75" x14ac:dyDescent="0.2">
      <c r="A106" s="4">
        <v>778908031</v>
      </c>
      <c r="B106" s="4" t="s">
        <v>130</v>
      </c>
      <c r="C106" s="5" t="str">
        <f ca="1">IFERROR(__xludf.DUMMYFUNCTION("VLOOKUP(A106,IMPORTRANGE(""https://docs.google.com/spreadsheets/d/1YTzKr_K5JRaPNV_4z6w8eq_6U9Z-8UIZfBG8lUnhgpg/edit?usp=sharing"",""Agencies With Number of Deals A!A:K""),10,0)"),"122187445")</f>
        <v>122187445</v>
      </c>
      <c r="D106" s="5" t="str">
        <f ca="1">IFERROR(__xludf.DUMMYFUNCTION("VLOOKUP(A106,IMPORTRANGE(""https://docs.google.com/spreadsheets/d/1YTzKr_K5JRaPNV_4z6w8eq_6U9Z-8UIZfBG8lUnhgpg/edit?usp=sharing"",""Agencies With Number of Deals A!A:K""),9,0)"),"2053015509")</f>
        <v>2053015509</v>
      </c>
      <c r="E106" s="4" t="s">
        <v>9</v>
      </c>
      <c r="F106" s="6">
        <v>46037</v>
      </c>
      <c r="G106" s="4" t="s">
        <v>10</v>
      </c>
      <c r="H106" s="7">
        <v>685.76</v>
      </c>
    </row>
    <row r="107" spans="1:8" ht="12.75" x14ac:dyDescent="0.2">
      <c r="A107" s="4">
        <v>1043076395</v>
      </c>
      <c r="B107" s="4" t="s">
        <v>131</v>
      </c>
      <c r="C107" s="5" t="str">
        <f ca="1">IFERROR(__xludf.DUMMYFUNCTION("VLOOKUP(A107,IMPORTRANGE(""https://docs.google.com/spreadsheets/d/1YTzKr_K5JRaPNV_4z6w8eq_6U9Z-8UIZfBG8lUnhgpg/edit?usp=sharing"",""Agencies With Number of Deals A!A:K""),10,0)"),"053112110")</f>
        <v>053112110</v>
      </c>
      <c r="D107" s="5" t="str">
        <f ca="1">IFERROR(__xludf.DUMMYFUNCTION("VLOOKUP(A107,IMPORTRANGE(""https://docs.google.com/spreadsheets/d/1YTzKr_K5JRaPNV_4z6w8eq_6U9Z-8UIZfBG8lUnhgpg/edit?usp=sharing"",""Agencies With Number of Deals A!A:K""),9,0)"),"1097848")</f>
        <v>1097848</v>
      </c>
      <c r="E107" s="4" t="s">
        <v>9</v>
      </c>
      <c r="F107" s="6">
        <v>46037</v>
      </c>
      <c r="G107" s="4" t="s">
        <v>10</v>
      </c>
      <c r="H107" s="7">
        <v>322.8</v>
      </c>
    </row>
    <row r="108" spans="1:8" ht="12.75" x14ac:dyDescent="0.2">
      <c r="A108" s="4">
        <v>16086098319</v>
      </c>
      <c r="B108" s="4" t="s">
        <v>132</v>
      </c>
      <c r="C108" s="5" t="str">
        <f ca="1">IFERROR(__xludf.DUMMYFUNCTION("VLOOKUP(A108,IMPORTRANGE(""https://docs.google.com/spreadsheets/d/1YTzKr_K5JRaPNV_4z6w8eq_6U9Z-8UIZfBG8lUnhgpg/edit?usp=sharing"",""Agencies With Number of Deals A!A:K""),10,0)"),"053112822")</f>
        <v>053112822</v>
      </c>
      <c r="D108" s="5" t="str">
        <f ca="1">IFERROR(__xludf.DUMMYFUNCTION("VLOOKUP(A108,IMPORTRANGE(""https://docs.google.com/spreadsheets/d/1YTzKr_K5JRaPNV_4z6w8eq_6U9Z-8UIZfBG8lUnhgpg/edit?usp=sharing"",""Agencies With Number of Deals A!A:K""),9,0)"),"4332201")</f>
        <v>4332201</v>
      </c>
      <c r="E108" s="4" t="s">
        <v>9</v>
      </c>
      <c r="F108" s="6">
        <v>46037</v>
      </c>
      <c r="G108" s="4" t="s">
        <v>10</v>
      </c>
      <c r="H108" s="7">
        <v>302.82</v>
      </c>
    </row>
    <row r="109" spans="1:8" ht="12.75" x14ac:dyDescent="0.2">
      <c r="A109" s="4">
        <v>671154358</v>
      </c>
      <c r="B109" s="4" t="s">
        <v>133</v>
      </c>
      <c r="C109" s="5" t="str">
        <f ca="1">IFERROR(__xludf.DUMMYFUNCTION("VLOOKUP(A109,IMPORTRANGE(""https://docs.google.com/spreadsheets/d/1YTzKr_K5JRaPNV_4z6w8eq_6U9Z-8UIZfBG8lUnhgpg/edit?usp=sharing"",""Agencies With Number of Deals A!A:K""),10,0)"),"122187445")</f>
        <v>122187445</v>
      </c>
      <c r="D109" s="5" t="str">
        <f ca="1">IFERROR(__xludf.DUMMYFUNCTION("VLOOKUP(A109,IMPORTRANGE(""https://docs.google.com/spreadsheets/d/1YTzKr_K5JRaPNV_4z6w8eq_6U9Z-8UIZfBG8lUnhgpg/edit?usp=sharing"",""Agencies With Number of Deals A!A:K""),9,0)"),"2013022474")</f>
        <v>2013022474</v>
      </c>
      <c r="E109" s="4" t="s">
        <v>9</v>
      </c>
      <c r="F109" s="6">
        <v>46037</v>
      </c>
      <c r="G109" s="4" t="s">
        <v>10</v>
      </c>
      <c r="H109" s="7">
        <v>577.62</v>
      </c>
    </row>
    <row r="110" spans="1:8" ht="12.75" x14ac:dyDescent="0.2">
      <c r="A110" s="4">
        <v>655426943</v>
      </c>
      <c r="B110" s="4" t="s">
        <v>134</v>
      </c>
      <c r="C110" s="5" t="str">
        <f ca="1">IFERROR(__xludf.DUMMYFUNCTION("VLOOKUP(A110,IMPORTRANGE(""https://docs.google.com/spreadsheets/d/1YTzKr_K5JRaPNV_4z6w8eq_6U9Z-8UIZfBG8lUnhgpg/edit?usp=sharing"",""Agencies With Number of Deals A!A:K""),10,0)"),"071923284")</f>
        <v>071923284</v>
      </c>
      <c r="D110" s="5" t="str">
        <f ca="1">IFERROR(__xludf.DUMMYFUNCTION("VLOOKUP(A110,IMPORTRANGE(""https://docs.google.com/spreadsheets/d/1YTzKr_K5JRaPNV_4z6w8eq_6U9Z-8UIZfBG8lUnhgpg/edit?usp=sharing"",""Agencies With Number of Deals A!A:K""),9,0)"),"8765116837")</f>
        <v>8765116837</v>
      </c>
      <c r="E110" s="4" t="s">
        <v>9</v>
      </c>
      <c r="F110" s="6">
        <v>46037</v>
      </c>
      <c r="G110" s="4" t="s">
        <v>10</v>
      </c>
      <c r="H110" s="7">
        <v>115.56</v>
      </c>
    </row>
    <row r="111" spans="1:8" ht="12.75" x14ac:dyDescent="0.2">
      <c r="A111" s="4">
        <v>16753096776</v>
      </c>
      <c r="B111" s="4" t="s">
        <v>135</v>
      </c>
      <c r="C111" s="5" t="str">
        <f ca="1">IFERROR(__xludf.DUMMYFUNCTION("VLOOKUP(A111,IMPORTRANGE(""https://docs.google.com/spreadsheets/d/1YTzKr_K5JRaPNV_4z6w8eq_6U9Z-8UIZfBG8lUnhgpg/edit?usp=sharing"",""Agencies With Number of Deals A!A:K""),10,0)"),"122105278")</f>
        <v>122105278</v>
      </c>
      <c r="D111" s="5" t="str">
        <f ca="1">IFERROR(__xludf.DUMMYFUNCTION("VLOOKUP(A111,IMPORTRANGE(""https://docs.google.com/spreadsheets/d/1YTzKr_K5JRaPNV_4z6w8eq_6U9Z-8UIZfBG8lUnhgpg/edit?usp=sharing"",""Agencies With Number of Deals A!A:K""),9,0)"),"3749262469")</f>
        <v>3749262469</v>
      </c>
      <c r="E111" s="4" t="s">
        <v>9</v>
      </c>
      <c r="F111" s="6">
        <v>46037</v>
      </c>
      <c r="G111" s="4" t="s">
        <v>10</v>
      </c>
      <c r="H111" s="7">
        <v>255.42</v>
      </c>
    </row>
    <row r="112" spans="1:8" ht="12.75" x14ac:dyDescent="0.2">
      <c r="A112" s="4">
        <v>19201738841</v>
      </c>
      <c r="B112" s="4" t="s">
        <v>136</v>
      </c>
      <c r="C112" s="5" t="str">
        <f ca="1">IFERROR(__xludf.DUMMYFUNCTION("VLOOKUP(A112,IMPORTRANGE(""https://docs.google.com/spreadsheets/d/1YTzKr_K5JRaPNV_4z6w8eq_6U9Z-8UIZfBG8lUnhgpg/edit?usp=sharing"",""Agencies With Number of Deals A!A:K""),10,0)"),"091900193")</f>
        <v>091900193</v>
      </c>
      <c r="D112" s="5" t="str">
        <f ca="1">IFERROR(__xludf.DUMMYFUNCTION("VLOOKUP(A112,IMPORTRANGE(""https://docs.google.com/spreadsheets/d/1YTzKr_K5JRaPNV_4z6w8eq_6U9Z-8UIZfBG8lUnhgpg/edit?usp=sharing"",""Agencies With Number of Deals A!A:K""),9,0)"),"011391")</f>
        <v>011391</v>
      </c>
      <c r="E112" s="4" t="s">
        <v>9</v>
      </c>
      <c r="F112" s="6">
        <v>46037</v>
      </c>
      <c r="G112" s="4" t="s">
        <v>10</v>
      </c>
      <c r="H112" s="7">
        <v>1662.8</v>
      </c>
    </row>
    <row r="113" spans="1:8" ht="12.75" x14ac:dyDescent="0.2">
      <c r="A113" s="4">
        <v>680640738</v>
      </c>
      <c r="B113" s="4" t="s">
        <v>137</v>
      </c>
      <c r="C113" s="5" t="str">
        <f ca="1">IFERROR(__xludf.DUMMYFUNCTION("VLOOKUP(A113,IMPORTRANGE(""https://docs.google.com/spreadsheets/d/1YTzKr_K5JRaPNV_4z6w8eq_6U9Z-8UIZfBG8lUnhgpg/edit?usp=sharing"",""Agencies With Number of Deals A!A:K""),10,0)"),"041000124")</f>
        <v>041000124</v>
      </c>
      <c r="D113" s="5" t="str">
        <f ca="1">IFERROR(__xludf.DUMMYFUNCTION("VLOOKUP(A113,IMPORTRANGE(""https://docs.google.com/spreadsheets/d/1YTzKr_K5JRaPNV_4z6w8eq_6U9Z-8UIZfBG8lUnhgpg/edit?usp=sharing"",""Agencies With Number of Deals A!A:K""),9,0)"),"4240511481")</f>
        <v>4240511481</v>
      </c>
      <c r="E113" s="4" t="s">
        <v>9</v>
      </c>
      <c r="F113" s="6">
        <v>46037</v>
      </c>
      <c r="G113" s="4" t="s">
        <v>10</v>
      </c>
      <c r="H113" s="7">
        <v>105.36</v>
      </c>
    </row>
    <row r="114" spans="1:8" ht="12.75" x14ac:dyDescent="0.2">
      <c r="A114" s="4">
        <v>19739821638</v>
      </c>
      <c r="B114" s="4" t="s">
        <v>138</v>
      </c>
      <c r="C114" s="5" t="str">
        <f ca="1">IFERROR(__xludf.DUMMYFUNCTION("VLOOKUP(A114,IMPORTRANGE(""https://docs.google.com/spreadsheets/d/1YTzKr_K5JRaPNV_4z6w8eq_6U9Z-8UIZfBG8lUnhgpg/edit?usp=sharing"",""Agencies With Number of Deals A!A:K""),10,0)"),"071000013")</f>
        <v>071000013</v>
      </c>
      <c r="D114" s="5" t="str">
        <f ca="1">IFERROR(__xludf.DUMMYFUNCTION("VLOOKUP(A114,IMPORTRANGE(""https://docs.google.com/spreadsheets/d/1YTzKr_K5JRaPNV_4z6w8eq_6U9Z-8UIZfBG8lUnhgpg/edit?usp=sharing"",""Agencies With Number of Deals A!A:K""),9,0)"),"208875853")</f>
        <v>208875853</v>
      </c>
      <c r="E114" s="4" t="s">
        <v>9</v>
      </c>
      <c r="F114" s="6">
        <v>46037</v>
      </c>
      <c r="G114" s="4" t="s">
        <v>10</v>
      </c>
      <c r="H114" s="7">
        <v>1323.18</v>
      </c>
    </row>
    <row r="115" spans="1:8" ht="12.75" x14ac:dyDescent="0.2">
      <c r="A115" s="4">
        <v>655427701</v>
      </c>
      <c r="B115" s="4" t="s">
        <v>139</v>
      </c>
      <c r="C115" s="5" t="str">
        <f ca="1">IFERROR(__xludf.DUMMYFUNCTION("VLOOKUP(A115,IMPORTRANGE(""https://docs.google.com/spreadsheets/d/1YTzKr_K5JRaPNV_4z6w8eq_6U9Z-8UIZfBG8lUnhgpg/edit?usp=sharing"",""Agencies With Number of Deals A!A:K""),10,0)"),"267084131")</f>
        <v>267084131</v>
      </c>
      <c r="D115" s="5" t="str">
        <f ca="1">IFERROR(__xludf.DUMMYFUNCTION("VLOOKUP(A115,IMPORTRANGE(""https://docs.google.com/spreadsheets/d/1YTzKr_K5JRaPNV_4z6w8eq_6U9Z-8UIZfBG8lUnhgpg/edit?usp=sharing"",""Agencies With Number of Deals A!A:K""),9,0)"),"606529298")</f>
        <v>606529298</v>
      </c>
      <c r="E115" s="4" t="s">
        <v>9</v>
      </c>
      <c r="F115" s="6">
        <v>46037</v>
      </c>
      <c r="G115" s="4" t="s">
        <v>10</v>
      </c>
      <c r="H115" s="7">
        <v>815.16</v>
      </c>
    </row>
    <row r="116" spans="1:8" ht="12.75" x14ac:dyDescent="0.2">
      <c r="A116" s="4">
        <v>671149988</v>
      </c>
      <c r="B116" s="4" t="s">
        <v>140</v>
      </c>
      <c r="C116" s="5" t="str">
        <f ca="1">IFERROR(__xludf.DUMMYFUNCTION("VLOOKUP(A116,IMPORTRANGE(""https://docs.google.com/spreadsheets/d/1YTzKr_K5JRaPNV_4z6w8eq_6U9Z-8UIZfBG8lUnhgpg/edit?usp=sharing"",""Agencies With Number of Deals A!A:K""),10,0)"),"071925334")</f>
        <v>071925334</v>
      </c>
      <c r="D116" s="5" t="str">
        <f ca="1">IFERROR(__xludf.DUMMYFUNCTION("VLOOKUP(A116,IMPORTRANGE(""https://docs.google.com/spreadsheets/d/1YTzKr_K5JRaPNV_4z6w8eq_6U9Z-8UIZfBG8lUnhgpg/edit?usp=sharing"",""Agencies With Number of Deals A!A:K""),9,0)"),"483206")</f>
        <v>483206</v>
      </c>
      <c r="E116" s="4" t="s">
        <v>9</v>
      </c>
      <c r="F116" s="6">
        <v>46037</v>
      </c>
      <c r="G116" s="4" t="s">
        <v>10</v>
      </c>
      <c r="H116" s="7">
        <v>73.44</v>
      </c>
    </row>
    <row r="117" spans="1:8" ht="12.75" x14ac:dyDescent="0.2">
      <c r="A117" s="4">
        <v>22394857616</v>
      </c>
      <c r="B117" s="4" t="s">
        <v>141</v>
      </c>
      <c r="C117" s="5" t="str">
        <f ca="1">IFERROR(__xludf.DUMMYFUNCTION("VLOOKUP(A117,IMPORTRANGE(""https://docs.google.com/spreadsheets/d/1YTzKr_K5JRaPNV_4z6w8eq_6U9Z-8UIZfBG8lUnhgpg/edit?usp=sharing"",""Agencies With Number of Deals A!A:K""),10,0)"),"021113251")</f>
        <v>021113251</v>
      </c>
      <c r="D117" s="5" t="str">
        <f ca="1">IFERROR(__xludf.DUMMYFUNCTION("VLOOKUP(A117,IMPORTRANGE(""https://docs.google.com/spreadsheets/d/1YTzKr_K5JRaPNV_4z6w8eq_6U9Z-8UIZfBG8lUnhgpg/edit?usp=sharing"",""Agencies With Number of Deals A!A:K""),9,0)"),"0001004360")</f>
        <v>0001004360</v>
      </c>
      <c r="E117" s="4" t="s">
        <v>9</v>
      </c>
      <c r="F117" s="6">
        <v>46037</v>
      </c>
      <c r="G117" s="4" t="s">
        <v>10</v>
      </c>
      <c r="H117" s="7">
        <v>3747.72</v>
      </c>
    </row>
    <row r="118" spans="1:8" ht="12.75" x14ac:dyDescent="0.2">
      <c r="A118" s="4">
        <v>811567372</v>
      </c>
      <c r="B118" s="4" t="s">
        <v>142</v>
      </c>
      <c r="C118" s="5" t="str">
        <f ca="1">IFERROR(__xludf.DUMMYFUNCTION("VLOOKUP(A118,IMPORTRANGE(""https://docs.google.com/spreadsheets/d/1YTzKr_K5JRaPNV_4z6w8eq_6U9Z-8UIZfBG8lUnhgpg/edit?usp=sharing"",""Agencies With Number of Deals A!A:K""),10,0)"),"122105498")</f>
        <v>122105498</v>
      </c>
      <c r="D118" s="5" t="str">
        <f ca="1">IFERROR(__xludf.DUMMYFUNCTION("VLOOKUP(A118,IMPORTRANGE(""https://docs.google.com/spreadsheets/d/1YTzKr_K5JRaPNV_4z6w8eq_6U9Z-8UIZfBG8lUnhgpg/edit?usp=sharing"",""Agencies With Number of Deals A!A:K""),9,0)"),"8096077808")</f>
        <v>8096077808</v>
      </c>
      <c r="E118" s="4" t="s">
        <v>9</v>
      </c>
      <c r="F118" s="6">
        <v>46037</v>
      </c>
      <c r="G118" s="4" t="s">
        <v>10</v>
      </c>
      <c r="H118" s="7">
        <v>507.18</v>
      </c>
    </row>
    <row r="119" spans="1:8" ht="12.75" x14ac:dyDescent="0.2">
      <c r="A119" s="4">
        <v>15980977328</v>
      </c>
      <c r="B119" s="4" t="s">
        <v>143</v>
      </c>
      <c r="C119" s="5" t="str">
        <f ca="1">IFERROR(__xludf.DUMMYFUNCTION("VLOOKUP(A119,IMPORTRANGE(""https://docs.google.com/spreadsheets/d/1YTzKr_K5JRaPNV_4z6w8eq_6U9Z-8UIZfBG8lUnhgpg/edit?usp=sharing"",""Agencies With Number of Deals A!A:K""),10,0)"),"125008547")</f>
        <v>125008547</v>
      </c>
      <c r="D119" s="5" t="str">
        <f ca="1">IFERROR(__xludf.DUMMYFUNCTION("VLOOKUP(A119,IMPORTRANGE(""https://docs.google.com/spreadsheets/d/1YTzKr_K5JRaPNV_4z6w8eq_6U9Z-8UIZfBG8lUnhgpg/edit?usp=sharing"",""Agencies With Number of Deals A!A:K""),9,0)"),"5516615894")</f>
        <v>5516615894</v>
      </c>
      <c r="E119" s="4" t="s">
        <v>9</v>
      </c>
      <c r="F119" s="6">
        <v>46037</v>
      </c>
      <c r="G119" s="4" t="s">
        <v>10</v>
      </c>
      <c r="H119" s="7">
        <v>457.2</v>
      </c>
    </row>
    <row r="120" spans="1:8" ht="12.75" x14ac:dyDescent="0.2">
      <c r="A120" s="4">
        <v>7038356617</v>
      </c>
      <c r="B120" s="4" t="s">
        <v>144</v>
      </c>
      <c r="C120" s="5" t="str">
        <f ca="1">IFERROR(__xludf.DUMMYFUNCTION("VLOOKUP(A120,IMPORTRANGE(""https://docs.google.com/spreadsheets/d/1YTzKr_K5JRaPNV_4z6w8eq_6U9Z-8UIZfBG8lUnhgpg/edit?usp=sharing"",""Agencies With Number of Deals A!A:K""),10,0)"),"081000032")</f>
        <v>081000032</v>
      </c>
      <c r="D120" s="5" t="str">
        <f ca="1">IFERROR(__xludf.DUMMYFUNCTION("VLOOKUP(A120,IMPORTRANGE(""https://docs.google.com/spreadsheets/d/1YTzKr_K5JRaPNV_4z6w8eq_6U9Z-8UIZfBG8lUnhgpg/edit?usp=sharing"",""Agencies With Number of Deals A!A:K""),9,0)"),"355011670815")</f>
        <v>355011670815</v>
      </c>
      <c r="E120" s="4" t="s">
        <v>9</v>
      </c>
      <c r="F120" s="6">
        <v>46037</v>
      </c>
      <c r="G120" s="4" t="s">
        <v>10</v>
      </c>
      <c r="H120" s="7">
        <v>464.74</v>
      </c>
    </row>
    <row r="121" spans="1:8" ht="12.75" x14ac:dyDescent="0.2">
      <c r="A121" s="4">
        <v>5354648520</v>
      </c>
      <c r="B121" s="4" t="s">
        <v>145</v>
      </c>
      <c r="C121" s="5" t="str">
        <f ca="1">IFERROR(__xludf.DUMMYFUNCTION("VLOOKUP(A121,IMPORTRANGE(""https://docs.google.com/spreadsheets/d/1YTzKr_K5JRaPNV_4z6w8eq_6U9Z-8UIZfBG8lUnhgpg/edit?usp=sharing"",""Agencies With Number of Deals A!A:K""),10,0)"),"091408501")</f>
        <v>091408501</v>
      </c>
      <c r="D121" s="5" t="str">
        <f ca="1">IFERROR(__xludf.DUMMYFUNCTION("VLOOKUP(A121,IMPORTRANGE(""https://docs.google.com/spreadsheets/d/1YTzKr_K5JRaPNV_4z6w8eq_6U9Z-8UIZfBG8lUnhgpg/edit?usp=sharing"",""Agencies With Number of Deals A!A:K""),9,0)"),"175091679522")</f>
        <v>175091679522</v>
      </c>
      <c r="E121" s="4" t="s">
        <v>9</v>
      </c>
      <c r="F121" s="6">
        <v>46037</v>
      </c>
      <c r="G121" s="4" t="s">
        <v>10</v>
      </c>
      <c r="H121" s="7">
        <v>244.36</v>
      </c>
    </row>
    <row r="122" spans="1:8" ht="12.75" x14ac:dyDescent="0.2">
      <c r="A122" s="4">
        <v>39272774217</v>
      </c>
      <c r="B122" s="4" t="s">
        <v>146</v>
      </c>
      <c r="C122" s="5" t="str">
        <f ca="1">IFERROR(__xludf.DUMMYFUNCTION("VLOOKUP(A122,IMPORTRANGE(""https://docs.google.com/spreadsheets/d/1YTzKr_K5JRaPNV_4z6w8eq_6U9Z-8UIZfBG8lUnhgpg/edit?usp=sharing"",""Agencies With Number of Deals A!A:K""),10,0)"),"211370150")</f>
        <v>211370150</v>
      </c>
      <c r="D122" s="5" t="str">
        <f ca="1">IFERROR(__xludf.DUMMYFUNCTION("VLOOKUP(A122,IMPORTRANGE(""https://docs.google.com/spreadsheets/d/1YTzKr_K5JRaPNV_4z6w8eq_6U9Z-8UIZfBG8lUnhgpg/edit?usp=sharing"",""Agencies With Number of Deals A!A:K""),9,0)"),"10304915")</f>
        <v>10304915</v>
      </c>
      <c r="E122" s="4" t="s">
        <v>9</v>
      </c>
      <c r="F122" s="6">
        <v>46037</v>
      </c>
      <c r="G122" s="4" t="s">
        <v>10</v>
      </c>
      <c r="H122" s="7">
        <v>67.48</v>
      </c>
    </row>
    <row r="123" spans="1:8" ht="12.75" x14ac:dyDescent="0.2">
      <c r="A123" s="4">
        <v>15969050408</v>
      </c>
      <c r="B123" s="4" t="s">
        <v>147</v>
      </c>
      <c r="C123" s="5" t="str">
        <f ca="1">IFERROR(__xludf.DUMMYFUNCTION("VLOOKUP(A123,IMPORTRANGE(""https://docs.google.com/spreadsheets/d/1YTzKr_K5JRaPNV_4z6w8eq_6U9Z-8UIZfBG8lUnhgpg/edit?usp=sharing"",""Agencies With Number of Deals A!A:K""),10,0)"),"211370150")</f>
        <v>211370150</v>
      </c>
      <c r="D123" s="5" t="str">
        <f ca="1">IFERROR(__xludf.DUMMYFUNCTION("VLOOKUP(A123,IMPORTRANGE(""https://docs.google.com/spreadsheets/d/1YTzKr_K5JRaPNV_4z6w8eq_6U9Z-8UIZfBG8lUnhgpg/edit?usp=sharing"",""Agencies With Number of Deals A!A:K""),9,0)"),"99578183")</f>
        <v>99578183</v>
      </c>
      <c r="E123" s="4" t="s">
        <v>9</v>
      </c>
      <c r="F123" s="6">
        <v>46037</v>
      </c>
      <c r="G123" s="4" t="s">
        <v>10</v>
      </c>
      <c r="H123" s="7">
        <v>302.83999999999997</v>
      </c>
    </row>
    <row r="124" spans="1:8" ht="12.75" x14ac:dyDescent="0.2">
      <c r="A124" s="4">
        <v>19022913906</v>
      </c>
      <c r="B124" s="4" t="s">
        <v>148</v>
      </c>
      <c r="C124" s="5" t="str">
        <f ca="1">IFERROR(__xludf.DUMMYFUNCTION("VLOOKUP(A124,IMPORTRANGE(""https://docs.google.com/spreadsheets/d/1YTzKr_K5JRaPNV_4z6w8eq_6U9Z-8UIZfBG8lUnhgpg/edit?usp=sharing"",""Agencies With Number of Deals A!A:K""),10,0)"),"322271627")</f>
        <v>322271627</v>
      </c>
      <c r="D124" s="5" t="str">
        <f ca="1">IFERROR(__xludf.DUMMYFUNCTION("VLOOKUP(A124,IMPORTRANGE(""https://docs.google.com/spreadsheets/d/1YTzKr_K5JRaPNV_4z6w8eq_6U9Z-8UIZfBG8lUnhgpg/edit?usp=sharing"",""Agencies With Number of Deals A!A:K""),9,0)"),"297780105")</f>
        <v>297780105</v>
      </c>
      <c r="E124" s="4" t="s">
        <v>9</v>
      </c>
      <c r="F124" s="6">
        <v>46037</v>
      </c>
      <c r="G124" s="4" t="s">
        <v>10</v>
      </c>
      <c r="H124" s="7">
        <v>468.78</v>
      </c>
    </row>
    <row r="125" spans="1:8" ht="12.75" x14ac:dyDescent="0.2">
      <c r="A125" s="4">
        <v>25225522606</v>
      </c>
      <c r="B125" s="4" t="s">
        <v>149</v>
      </c>
      <c r="C125" s="5" t="str">
        <f ca="1">IFERROR(__xludf.DUMMYFUNCTION("VLOOKUP(A125,IMPORTRANGE(""https://docs.google.com/spreadsheets/d/1YTzKr_K5JRaPNV_4z6w8eq_6U9Z-8UIZfBG8lUnhgpg/edit?usp=sharing"",""Agencies With Number of Deals A!A:K""),10,0)"),"122187445")</f>
        <v>122187445</v>
      </c>
      <c r="D125" s="5" t="str">
        <f ca="1">IFERROR(__xludf.DUMMYFUNCTION("VLOOKUP(A125,IMPORTRANGE(""https://docs.google.com/spreadsheets/d/1YTzKr_K5JRaPNV_4z6w8eq_6U9Z-8UIZfBG8lUnhgpg/edit?usp=sharing"",""Agencies With Number of Deals A!A:K""),9,0)"),"2051098067")</f>
        <v>2051098067</v>
      </c>
      <c r="E125" s="4" t="s">
        <v>9</v>
      </c>
      <c r="F125" s="6">
        <v>46037</v>
      </c>
      <c r="G125" s="4" t="s">
        <v>10</v>
      </c>
      <c r="H125" s="7">
        <v>101.22</v>
      </c>
    </row>
    <row r="126" spans="1:8" ht="12.75" x14ac:dyDescent="0.2">
      <c r="A126" s="4">
        <v>16755068717</v>
      </c>
      <c r="B126" s="4" t="s">
        <v>150</v>
      </c>
      <c r="C126" s="5" t="str">
        <f ca="1">IFERROR(__xludf.DUMMYFUNCTION("VLOOKUP(A126,IMPORTRANGE(""https://docs.google.com/spreadsheets/d/1YTzKr_K5JRaPNV_4z6w8eq_6U9Z-8UIZfBG8lUnhgpg/edit?usp=sharing"",""Agencies With Number of Deals A!A:K""),10,0)"),"121042882")</f>
        <v>121042882</v>
      </c>
      <c r="D126" s="5" t="str">
        <f ca="1">IFERROR(__xludf.DUMMYFUNCTION("VLOOKUP(A126,IMPORTRANGE(""https://docs.google.com/spreadsheets/d/1YTzKr_K5JRaPNV_4z6w8eq_6U9Z-8UIZfBG8lUnhgpg/edit?usp=sharing"",""Agencies With Number of Deals A!A:K""),9,0)"),"07981574119")</f>
        <v>07981574119</v>
      </c>
      <c r="E126" s="4" t="s">
        <v>9</v>
      </c>
      <c r="F126" s="6">
        <v>46037</v>
      </c>
      <c r="G126" s="4" t="s">
        <v>10</v>
      </c>
      <c r="H126" s="7">
        <v>466.7</v>
      </c>
    </row>
    <row r="127" spans="1:8" ht="12.75" x14ac:dyDescent="0.2">
      <c r="A127" s="4">
        <v>18685974454</v>
      </c>
      <c r="B127" s="4" t="s">
        <v>151</v>
      </c>
      <c r="C127" s="5" t="str">
        <f ca="1">IFERROR(__xludf.DUMMYFUNCTION("VLOOKUP(A127,IMPORTRANGE(""https://docs.google.com/spreadsheets/d/1YTzKr_K5JRaPNV_4z6w8eq_6U9Z-8UIZfBG8lUnhgpg/edit?usp=sharing"",""Agencies With Number of Deals A!A:K""),10,0)"),"042100175")</f>
        <v>042100175</v>
      </c>
      <c r="D127" s="5" t="str">
        <f ca="1">IFERROR(__xludf.DUMMYFUNCTION("VLOOKUP(A127,IMPORTRANGE(""https://docs.google.com/spreadsheets/d/1YTzKr_K5JRaPNV_4z6w8eq_6U9Z-8UIZfBG8lUnhgpg/edit?usp=sharing"",""Agencies With Number of Deals A!A:K""),9,0)"),"145811746414")</f>
        <v>145811746414</v>
      </c>
      <c r="E127" s="4" t="s">
        <v>9</v>
      </c>
      <c r="F127" s="6">
        <v>46037</v>
      </c>
      <c r="G127" s="4" t="s">
        <v>10</v>
      </c>
      <c r="H127" s="7">
        <v>366.48</v>
      </c>
    </row>
    <row r="128" spans="1:8" ht="12.75" x14ac:dyDescent="0.2">
      <c r="A128" s="4">
        <v>28509971306</v>
      </c>
      <c r="B128" s="4" t="s">
        <v>152</v>
      </c>
      <c r="C128" s="5" t="str">
        <f ca="1">IFERROR(__xludf.DUMMYFUNCTION("VLOOKUP(A128,IMPORTRANGE(""https://docs.google.com/spreadsheets/d/1YTzKr_K5JRaPNV_4z6w8eq_6U9Z-8UIZfBG8lUnhgpg/edit?usp=sharing"",""Agencies With Number of Deals A!A:K""),10,0)"),"072000326")</f>
        <v>072000326</v>
      </c>
      <c r="D128" s="5" t="str">
        <f ca="1">IFERROR(__xludf.DUMMYFUNCTION("VLOOKUP(A128,IMPORTRANGE(""https://docs.google.com/spreadsheets/d/1YTzKr_K5JRaPNV_4z6w8eq_6U9Z-8UIZfBG8lUnhgpg/edit?usp=sharing"",""Agencies With Number of Deals A!A:K""),9,0)"),"967652717")</f>
        <v>967652717</v>
      </c>
      <c r="E128" s="4" t="s">
        <v>9</v>
      </c>
      <c r="F128" s="6">
        <v>46037</v>
      </c>
      <c r="G128" s="4" t="s">
        <v>10</v>
      </c>
      <c r="H128" s="7">
        <v>3439.08</v>
      </c>
    </row>
    <row r="129" spans="1:8" ht="12.75" x14ac:dyDescent="0.2">
      <c r="A129" s="4">
        <v>15980024976</v>
      </c>
      <c r="B129" s="4" t="s">
        <v>153</v>
      </c>
      <c r="C129" s="5" t="str">
        <f ca="1">IFERROR(__xludf.DUMMYFUNCTION("VLOOKUP(A129,IMPORTRANGE(""https://docs.google.com/spreadsheets/d/1YTzKr_K5JRaPNV_4z6w8eq_6U9Z-8UIZfBG8lUnhgpg/edit?usp=sharing"",""Agencies With Number of Deals A!A:K""),10,0)"),"121202211")</f>
        <v>121202211</v>
      </c>
      <c r="D129" s="5" t="str">
        <f ca="1">IFERROR(__xludf.DUMMYFUNCTION("VLOOKUP(A129,IMPORTRANGE(""https://docs.google.com/spreadsheets/d/1YTzKr_K5JRaPNV_4z6w8eq_6U9Z-8UIZfBG8lUnhgpg/edit?usp=sharing"",""Agencies With Number of Deals A!A:K""),9,0)"),"440034688620")</f>
        <v>440034688620</v>
      </c>
      <c r="E129" s="4" t="s">
        <v>9</v>
      </c>
      <c r="F129" s="6">
        <v>46037</v>
      </c>
      <c r="G129" s="4" t="s">
        <v>10</v>
      </c>
      <c r="H129" s="7">
        <v>308.24</v>
      </c>
    </row>
    <row r="130" spans="1:8" ht="12.75" x14ac:dyDescent="0.2">
      <c r="A130" s="4">
        <v>19180819128</v>
      </c>
      <c r="B130" s="4" t="s">
        <v>154</v>
      </c>
      <c r="C130" s="5" t="str">
        <f ca="1">IFERROR(__xludf.DUMMYFUNCTION("VLOOKUP(A130,IMPORTRANGE(""https://docs.google.com/spreadsheets/d/1YTzKr_K5JRaPNV_4z6w8eq_6U9Z-8UIZfBG8lUnhgpg/edit?usp=sharing"",""Agencies With Number of Deals A!A:K""),10,0)"),"051400549")</f>
        <v>051400549</v>
      </c>
      <c r="D130" s="5" t="str">
        <f ca="1">IFERROR(__xludf.DUMMYFUNCTION("VLOOKUP(A130,IMPORTRANGE(""https://docs.google.com/spreadsheets/d/1YTzKr_K5JRaPNV_4z6w8eq_6U9Z-8UIZfBG8lUnhgpg/edit?usp=sharing"",""Agencies With Number of Deals A!A:K""),9,0)"),"9164653769")</f>
        <v>9164653769</v>
      </c>
      <c r="E130" s="4" t="s">
        <v>9</v>
      </c>
      <c r="F130" s="6">
        <v>46037</v>
      </c>
      <c r="G130" s="4" t="s">
        <v>10</v>
      </c>
      <c r="H130" s="7">
        <v>305.82</v>
      </c>
    </row>
    <row r="131" spans="1:8" ht="12.75" x14ac:dyDescent="0.2">
      <c r="A131" s="4">
        <v>16754921867</v>
      </c>
      <c r="B131" s="4" t="s">
        <v>155</v>
      </c>
      <c r="C131" s="5" t="str">
        <f ca="1">IFERROR(__xludf.DUMMYFUNCTION("VLOOKUP(A131,IMPORTRANGE(""https://docs.google.com/spreadsheets/d/1YTzKr_K5JRaPNV_4z6w8eq_6U9Z-8UIZfBG8lUnhgpg/edit?usp=sharing"",""Agencies With Number of Deals A!A:K""),10,0)"),"051404901")</f>
        <v>051404901</v>
      </c>
      <c r="D131" s="5" t="str">
        <f ca="1">IFERROR(__xludf.DUMMYFUNCTION("VLOOKUP(A131,IMPORTRANGE(""https://docs.google.com/spreadsheets/d/1YTzKr_K5JRaPNV_4z6w8eq_6U9Z-8UIZfBG8lUnhgpg/edit?usp=sharing"",""Agencies With Number of Deals A!A:K""),9,0)"),"9000067987")</f>
        <v>9000067987</v>
      </c>
      <c r="E131" s="4" t="s">
        <v>9</v>
      </c>
      <c r="F131" s="6">
        <v>46037</v>
      </c>
      <c r="G131" s="4" t="s">
        <v>10</v>
      </c>
      <c r="H131" s="7">
        <v>46.86</v>
      </c>
    </row>
    <row r="132" spans="1:8" ht="12.75" x14ac:dyDescent="0.2">
      <c r="A132" s="4">
        <v>15980982440</v>
      </c>
      <c r="B132" s="4" t="s">
        <v>156</v>
      </c>
      <c r="C132" s="5" t="str">
        <f ca="1">IFERROR(__xludf.DUMMYFUNCTION("VLOOKUP(A132,IMPORTRANGE(""https://docs.google.com/spreadsheets/d/1YTzKr_K5JRaPNV_4z6w8eq_6U9Z-8UIZfBG8lUnhgpg/edit?usp=sharing"",""Agencies With Number of Deals A!A:K""),10,0)"),"104913912")</f>
        <v>104913912</v>
      </c>
      <c r="D132" s="5" t="str">
        <f ca="1">IFERROR(__xludf.DUMMYFUNCTION("VLOOKUP(A132,IMPORTRANGE(""https://docs.google.com/spreadsheets/d/1YTzKr_K5JRaPNV_4z6w8eq_6U9Z-8UIZfBG8lUnhgpg/edit?usp=sharing"",""Agencies With Number of Deals A!A:K""),9,0)"),"6510039107")</f>
        <v>6510039107</v>
      </c>
      <c r="E132" s="4" t="s">
        <v>9</v>
      </c>
      <c r="F132" s="6">
        <v>46037</v>
      </c>
      <c r="G132" s="4" t="s">
        <v>10</v>
      </c>
      <c r="H132" s="7">
        <v>1651.2</v>
      </c>
    </row>
    <row r="133" spans="1:8" ht="12.75" x14ac:dyDescent="0.2">
      <c r="A133" s="4">
        <v>21298778202</v>
      </c>
      <c r="B133" s="4" t="s">
        <v>157</v>
      </c>
      <c r="C133" s="5" t="str">
        <f ca="1">IFERROR(__xludf.DUMMYFUNCTION("VLOOKUP(A133,IMPORTRANGE(""https://docs.google.com/spreadsheets/d/1YTzKr_K5JRaPNV_4z6w8eq_6U9Z-8UIZfBG8lUnhgpg/edit?usp=sharing"",""Agencies With Number of Deals A!A:K""),10,0)"),"075000022")</f>
        <v>075000022</v>
      </c>
      <c r="D133" s="5" t="str">
        <f ca="1">IFERROR(__xludf.DUMMYFUNCTION("VLOOKUP(A133,IMPORTRANGE(""https://docs.google.com/spreadsheets/d/1YTzKr_K5JRaPNV_4z6w8eq_6U9Z-8UIZfBG8lUnhgpg/edit?usp=sharing"",""Agencies With Number of Deals A!A:K""),9,0)"),"182376337362")</f>
        <v>182376337362</v>
      </c>
      <c r="E133" s="4" t="s">
        <v>9</v>
      </c>
      <c r="F133" s="6">
        <v>46037</v>
      </c>
      <c r="G133" s="4" t="s">
        <v>10</v>
      </c>
      <c r="H133" s="7">
        <v>968.28</v>
      </c>
    </row>
    <row r="134" spans="1:8" ht="12.75" x14ac:dyDescent="0.2">
      <c r="A134" s="4">
        <v>36727772842</v>
      </c>
      <c r="B134" s="4" t="s">
        <v>158</v>
      </c>
      <c r="C134" s="4" t="s">
        <v>159</v>
      </c>
      <c r="D134" s="4" t="s">
        <v>160</v>
      </c>
      <c r="E134" s="4" t="s">
        <v>9</v>
      </c>
      <c r="F134" s="6">
        <v>46037</v>
      </c>
      <c r="G134" s="4" t="s">
        <v>10</v>
      </c>
      <c r="H134" s="7">
        <v>1235.6400000000001</v>
      </c>
    </row>
    <row r="135" spans="1:8" ht="12.75" x14ac:dyDescent="0.2">
      <c r="A135" s="4">
        <v>25086855062</v>
      </c>
      <c r="B135" s="8" t="s">
        <v>161</v>
      </c>
      <c r="C135" s="5" t="str">
        <f ca="1">IFERROR(__xludf.DUMMYFUNCTION("VLOOKUP(A135,IMPORTRANGE(""https://docs.google.com/spreadsheets/d/1YTzKr_K5JRaPNV_4z6w8eq_6U9Z-8UIZfBG8lUnhgpg/edit?usp=sharing"",""Agencies With Number of Deals A!A:K""),10,0)"),"062000019")</f>
        <v>062000019</v>
      </c>
      <c r="D135" s="5" t="str">
        <f ca="1">IFERROR(__xludf.DUMMYFUNCTION("VLOOKUP(A135,IMPORTRANGE(""https://docs.google.com/spreadsheets/d/1YTzKr_K5JRaPNV_4z6w8eq_6U9Z-8UIZfBG8lUnhgpg/edit?usp=sharing"",""Agencies With Number of Deals A!A:K""),9,0)"),"0331986684")</f>
        <v>0331986684</v>
      </c>
      <c r="E135" s="4" t="s">
        <v>9</v>
      </c>
      <c r="F135" s="6">
        <v>46037</v>
      </c>
      <c r="G135" s="4" t="s">
        <v>10</v>
      </c>
      <c r="H135" s="7">
        <v>1286.22</v>
      </c>
    </row>
    <row r="136" spans="1:8" ht="12.75" x14ac:dyDescent="0.2">
      <c r="A136" s="4">
        <v>6291791148</v>
      </c>
      <c r="B136" s="4" t="s">
        <v>162</v>
      </c>
      <c r="C136" s="5" t="str">
        <f ca="1">IFERROR(__xludf.DUMMYFUNCTION("VLOOKUP(A136,IMPORTRANGE(""https://docs.google.com/spreadsheets/d/1YTzKr_K5JRaPNV_4z6w8eq_6U9Z-8UIZfBG8lUnhgpg/edit?usp=sharing"",""Agencies With Number of Deals A!A:K""),10,0)"),"124001545")</f>
        <v>124001545</v>
      </c>
      <c r="D136" s="5" t="str">
        <f ca="1">IFERROR(__xludf.DUMMYFUNCTION("VLOOKUP(A136,IMPORTRANGE(""https://docs.google.com/spreadsheets/d/1YTzKr_K5JRaPNV_4z6w8eq_6U9Z-8UIZfBG8lUnhgpg/edit?usp=sharing"",""Agencies With Number of Deals A!A:K""),9,0)"),"556186255")</f>
        <v>556186255</v>
      </c>
      <c r="E136" s="4" t="s">
        <v>9</v>
      </c>
      <c r="F136" s="6">
        <v>46037</v>
      </c>
      <c r="G136" s="4" t="s">
        <v>10</v>
      </c>
      <c r="H136" s="7">
        <v>617.64</v>
      </c>
    </row>
    <row r="137" spans="1:8" ht="12.75" x14ac:dyDescent="0.2">
      <c r="A137" s="4">
        <v>7138467215</v>
      </c>
      <c r="B137" s="4" t="s">
        <v>163</v>
      </c>
      <c r="C137" s="5" t="str">
        <f ca="1">IFERROR(__xludf.DUMMYFUNCTION("VLOOKUP(A137,IMPORTRANGE(""https://docs.google.com/spreadsheets/d/1YTzKr_K5JRaPNV_4z6w8eq_6U9Z-8UIZfBG8lUnhgpg/edit?usp=sharing"",""Agencies With Number of Deals A!A:K""),10,0)"),"122238200")</f>
        <v>122238200</v>
      </c>
      <c r="D137" s="5" t="str">
        <f ca="1">IFERROR(__xludf.DUMMYFUNCTION("VLOOKUP(A137,IMPORTRANGE(""https://docs.google.com/spreadsheets/d/1YTzKr_K5JRaPNV_4z6w8eq_6U9Z-8UIZfBG8lUnhgpg/edit?usp=sharing"",""Agencies With Number of Deals A!A:K""),9,0)"),"1002148631")</f>
        <v>1002148631</v>
      </c>
      <c r="E137" s="4" t="s">
        <v>9</v>
      </c>
      <c r="F137" s="6">
        <v>46037</v>
      </c>
      <c r="G137" s="4" t="s">
        <v>10</v>
      </c>
      <c r="H137" s="7">
        <v>1195.9680000000001</v>
      </c>
    </row>
    <row r="138" spans="1:8" ht="12.75" x14ac:dyDescent="0.2">
      <c r="A138" s="4">
        <v>33779273603</v>
      </c>
      <c r="B138" s="4" t="s">
        <v>164</v>
      </c>
      <c r="C138" s="5" t="str">
        <f ca="1">IFERROR(__xludf.DUMMYFUNCTION("VLOOKUP(A138,IMPORTRANGE(""https://docs.google.com/spreadsheets/d/1YTzKr_K5JRaPNV_4z6w8eq_6U9Z-8UIZfBG8lUnhgpg/edit?usp=sharing"",""Agencies With Number of Deals A!A:K""),10,0)"),"124001545")</f>
        <v>124001545</v>
      </c>
      <c r="D138" s="5" t="str">
        <f ca="1">IFERROR(__xludf.DUMMYFUNCTION("VLOOKUP(A138,IMPORTRANGE(""https://docs.google.com/spreadsheets/d/1YTzKr_K5JRaPNV_4z6w8eq_6U9Z-8UIZfBG8lUnhgpg/edit?usp=sharing"",""Agencies With Number of Deals A!A:K""),9,0)"),"2905207561")</f>
        <v>2905207561</v>
      </c>
      <c r="E138" s="4" t="s">
        <v>9</v>
      </c>
      <c r="F138" s="6">
        <v>46037</v>
      </c>
      <c r="G138" s="4" t="s">
        <v>10</v>
      </c>
      <c r="H138" s="7">
        <v>6019.94</v>
      </c>
    </row>
    <row r="139" spans="1:8" ht="12.75" x14ac:dyDescent="0.2">
      <c r="A139" s="4">
        <v>17051881535</v>
      </c>
      <c r="B139" s="4" t="s">
        <v>165</v>
      </c>
      <c r="C139" s="5" t="str">
        <f ca="1">IFERROR(__xludf.DUMMYFUNCTION("VLOOKUP(A139,IMPORTRANGE(""https://docs.google.com/spreadsheets/d/1YTzKr_K5JRaPNV_4z6w8eq_6U9Z-8UIZfBG8lUnhgpg/edit?usp=sharing"",""Agencies With Number of Deals A!A:K""),10,0)"),"082900432")</f>
        <v>082900432</v>
      </c>
      <c r="D139" s="5" t="str">
        <f ca="1">IFERROR(__xludf.DUMMYFUNCTION("VLOOKUP(A139,IMPORTRANGE(""https://docs.google.com/spreadsheets/d/1YTzKr_K5JRaPNV_4z6w8eq_6U9Z-8UIZfBG8lUnhgpg/edit?usp=sharing"",""Agencies With Number of Deals A!A:K""),9,0)"),"135778281")</f>
        <v>135778281</v>
      </c>
      <c r="E139" s="4" t="s">
        <v>9</v>
      </c>
      <c r="F139" s="6">
        <v>46037</v>
      </c>
      <c r="G139" s="4" t="s">
        <v>10</v>
      </c>
      <c r="H139" s="7">
        <v>913.44</v>
      </c>
    </row>
    <row r="140" spans="1:8" ht="12.75" x14ac:dyDescent="0.2">
      <c r="A140" s="4">
        <v>16999031354</v>
      </c>
      <c r="B140" s="4" t="s">
        <v>166</v>
      </c>
      <c r="C140" s="5" t="str">
        <f ca="1">IFERROR(__xludf.DUMMYFUNCTION("VLOOKUP(A140,IMPORTRANGE(""https://docs.google.com/spreadsheets/d/1YTzKr_K5JRaPNV_4z6w8eq_6U9Z-8UIZfBG8lUnhgpg/edit?usp=sharing"",""Agencies With Number of Deals A!A:K""),10,0)"),"113125555")</f>
        <v>113125555</v>
      </c>
      <c r="D140" s="5" t="str">
        <f ca="1">IFERROR(__xludf.DUMMYFUNCTION("VLOOKUP(A140,IMPORTRANGE(""https://docs.google.com/spreadsheets/d/1YTzKr_K5JRaPNV_4z6w8eq_6U9Z-8UIZfBG8lUnhgpg/edit?usp=sharing"",""Agencies With Number of Deals A!A:K""),9,0)"),"3401015")</f>
        <v>3401015</v>
      </c>
      <c r="E140" s="4" t="s">
        <v>9</v>
      </c>
      <c r="F140" s="6">
        <v>46037</v>
      </c>
      <c r="G140" s="4" t="s">
        <v>10</v>
      </c>
      <c r="H140" s="7">
        <v>733.02</v>
      </c>
    </row>
    <row r="141" spans="1:8" ht="12.75" x14ac:dyDescent="0.2">
      <c r="A141" s="4">
        <v>5240040854</v>
      </c>
      <c r="B141" s="4" t="s">
        <v>167</v>
      </c>
      <c r="C141" s="5" t="str">
        <f ca="1">IFERROR(__xludf.DUMMYFUNCTION("VLOOKUP(A141,IMPORTRANGE(""https://docs.google.com/spreadsheets/d/1YTzKr_K5JRaPNV_4z6w8eq_6U9Z-8UIZfBG8lUnhgpg/edit?usp=sharing"",""Agencies With Number of Deals A!A:K""),10,0)"),"064000020")</f>
        <v>064000020</v>
      </c>
      <c r="D141" s="5" t="str">
        <f ca="1">IFERROR(__xludf.DUMMYFUNCTION("VLOOKUP(A141,IMPORTRANGE(""https://docs.google.com/spreadsheets/d/1YTzKr_K5JRaPNV_4z6w8eq_6U9Z-8UIZfBG8lUnhgpg/edit?usp=sharing"",""Agencies With Number of Deals A!A:K""),9,0)"),"003783654770")</f>
        <v>003783654770</v>
      </c>
      <c r="E141" s="4" t="s">
        <v>9</v>
      </c>
      <c r="F141" s="6">
        <v>46037</v>
      </c>
      <c r="G141" s="4" t="s">
        <v>10</v>
      </c>
      <c r="H141" s="7">
        <v>274.08</v>
      </c>
    </row>
    <row r="142" spans="1:8" ht="12.75" x14ac:dyDescent="0.2">
      <c r="A142" s="4">
        <v>15900439398</v>
      </c>
      <c r="B142" s="4" t="s">
        <v>168</v>
      </c>
      <c r="C142" s="5" t="str">
        <f ca="1">IFERROR(__xludf.DUMMYFUNCTION("VLOOKUP(A142,IMPORTRANGE(""https://docs.google.com/spreadsheets/d/1YTzKr_K5JRaPNV_4z6w8eq_6U9Z-8UIZfBG8lUnhgpg/edit?usp=sharing"",""Agencies With Number of Deals A!A:K""),10,0)"),"122187238")</f>
        <v>122187238</v>
      </c>
      <c r="D142" s="5" t="str">
        <f ca="1">IFERROR(__xludf.DUMMYFUNCTION("VLOOKUP(A142,IMPORTRANGE(""https://docs.google.com/spreadsheets/d/1YTzKr_K5JRaPNV_4z6w8eq_6U9Z-8UIZfBG8lUnhgpg/edit?usp=sharing"",""Agencies With Number of Deals A!A:K""),9,0)"),"14008285970400")</f>
        <v>14008285970400</v>
      </c>
      <c r="E142" s="4" t="s">
        <v>9</v>
      </c>
      <c r="F142" s="6">
        <v>46037</v>
      </c>
      <c r="G142" s="4" t="s">
        <v>10</v>
      </c>
      <c r="H142" s="7">
        <v>3850.86</v>
      </c>
    </row>
    <row r="143" spans="1:8" ht="12.75" x14ac:dyDescent="0.2">
      <c r="A143" s="4">
        <v>15983480096</v>
      </c>
      <c r="B143" s="4" t="s">
        <v>169</v>
      </c>
      <c r="C143" s="5" t="str">
        <f ca="1">IFERROR(__xludf.DUMMYFUNCTION("VLOOKUP(A143,IMPORTRANGE(""https://docs.google.com/spreadsheets/d/1YTzKr_K5JRaPNV_4z6w8eq_6U9Z-8UIZfBG8lUnhgpg/edit?usp=sharing"",""Agencies With Number of Deals A!A:K""),10,0)"),"063114030")</f>
        <v>063114030</v>
      </c>
      <c r="D143" s="5" t="str">
        <f ca="1">IFERROR(__xludf.DUMMYFUNCTION("VLOOKUP(A143,IMPORTRANGE(""https://docs.google.com/spreadsheets/d/1YTzKr_K5JRaPNV_4z6w8eq_6U9Z-8UIZfBG8lUnhgpg/edit?usp=sharing"",""Agencies With Number of Deals A!A:K""),9,0)"),"8010001061554")</f>
        <v>8010001061554</v>
      </c>
      <c r="E143" s="4" t="s">
        <v>9</v>
      </c>
      <c r="F143" s="6">
        <v>46037</v>
      </c>
      <c r="G143" s="4" t="s">
        <v>10</v>
      </c>
      <c r="H143" s="7">
        <v>4294.9799999999996</v>
      </c>
    </row>
    <row r="144" spans="1:8" ht="12.75" x14ac:dyDescent="0.2">
      <c r="A144" s="4">
        <v>779687065</v>
      </c>
      <c r="B144" s="4" t="s">
        <v>170</v>
      </c>
      <c r="C144" s="5" t="str">
        <f ca="1">IFERROR(__xludf.DUMMYFUNCTION("VLOOKUP(A144,IMPORTRANGE(""https://docs.google.com/spreadsheets/d/1YTzKr_K5JRaPNV_4z6w8eq_6U9Z-8UIZfBG8lUnhgpg/edit?usp=sharing"",""Agencies With Number of Deals A!A:K""),10,0)"),"322172496")</f>
        <v>322172496</v>
      </c>
      <c r="D144" s="5" t="str">
        <f ca="1">IFERROR(__xludf.DUMMYFUNCTION("VLOOKUP(A144,IMPORTRANGE(""https://docs.google.com/spreadsheets/d/1YTzKr_K5JRaPNV_4z6w8eq_6U9Z-8UIZfBG8lUnhgpg/edit?usp=sharing"",""Agencies With Number of Deals A!A:K""),9,0)"),"701037644709")</f>
        <v>701037644709</v>
      </c>
      <c r="E144" s="4" t="s">
        <v>9</v>
      </c>
      <c r="F144" s="6">
        <v>46037</v>
      </c>
      <c r="G144" s="4" t="s">
        <v>10</v>
      </c>
      <c r="H144" s="7">
        <v>1316.76</v>
      </c>
    </row>
    <row r="145" spans="1:8" ht="12.75" x14ac:dyDescent="0.2">
      <c r="A145" s="4">
        <v>655750952</v>
      </c>
      <c r="B145" s="4" t="s">
        <v>171</v>
      </c>
      <c r="C145" s="5" t="str">
        <f ca="1">IFERROR(__xludf.DUMMYFUNCTION("VLOOKUP(A145,IMPORTRANGE(""https://docs.google.com/spreadsheets/d/1YTzKr_K5JRaPNV_4z6w8eq_6U9Z-8UIZfBG8lUnhgpg/edit?usp=sharing"",""Agencies With Number of Deals A!A:K""),10,0)"),"091305031")</f>
        <v>091305031</v>
      </c>
      <c r="D145" s="5" t="str">
        <f ca="1">IFERROR(__xludf.DUMMYFUNCTION("VLOOKUP(A145,IMPORTRANGE(""https://docs.google.com/spreadsheets/d/1YTzKr_K5JRaPNV_4z6w8eq_6U9Z-8UIZfBG8lUnhgpg/edit?usp=sharing"",""Agencies With Number of Deals A!A:K""),9,0)"),"7301786185")</f>
        <v>7301786185</v>
      </c>
      <c r="E145" s="4" t="s">
        <v>9</v>
      </c>
      <c r="F145" s="6">
        <v>46037</v>
      </c>
      <c r="G145" s="4" t="s">
        <v>10</v>
      </c>
      <c r="H145" s="7">
        <v>507.18</v>
      </c>
    </row>
    <row r="146" spans="1:8" ht="12.75" x14ac:dyDescent="0.2">
      <c r="A146" s="4">
        <v>671151977</v>
      </c>
      <c r="B146" s="4" t="s">
        <v>172</v>
      </c>
      <c r="C146" s="5" t="str">
        <f ca="1">IFERROR(__xludf.DUMMYFUNCTION("VLOOKUP(A146,IMPORTRANGE(""https://docs.google.com/spreadsheets/d/1YTzKr_K5JRaPNV_4z6w8eq_6U9Z-8UIZfBG8lUnhgpg/edit?usp=sharing"",""Agencies With Number of Deals A!A:K""),10,0)"),"267084199")</f>
        <v>267084199</v>
      </c>
      <c r="D146" s="5" t="str">
        <f ca="1">IFERROR(__xludf.DUMMYFUNCTION("VLOOKUP(A146,IMPORTRANGE(""https://docs.google.com/spreadsheets/d/1YTzKr_K5JRaPNV_4z6w8eq_6U9Z-8UIZfBG8lUnhgpg/edit?usp=sharing"",""Agencies With Number of Deals A!A:K""),9,0)"),"1211588865")</f>
        <v>1211588865</v>
      </c>
      <c r="E146" s="4" t="s">
        <v>9</v>
      </c>
      <c r="F146" s="6">
        <v>46037</v>
      </c>
      <c r="G146" s="4" t="s">
        <v>10</v>
      </c>
      <c r="H146" s="7">
        <v>2837.52</v>
      </c>
    </row>
    <row r="147" spans="1:8" ht="12.75" x14ac:dyDescent="0.2">
      <c r="A147" s="4">
        <v>17921333867</v>
      </c>
      <c r="B147" s="4" t="s">
        <v>173</v>
      </c>
      <c r="C147" s="5" t="str">
        <f ca="1">IFERROR(__xludf.DUMMYFUNCTION("VLOOKUP(A147,IMPORTRANGE(""https://docs.google.com/spreadsheets/d/1YTzKr_K5JRaPNV_4z6w8eq_6U9Z-8UIZfBG8lUnhgpg/edit?usp=sharing"",""Agencies With Number of Deals A!A:K""),10,0)"),"086518891")</f>
        <v>086518891</v>
      </c>
      <c r="D147" s="5" t="str">
        <f ca="1">IFERROR(__xludf.DUMMYFUNCTION("VLOOKUP(A147,IMPORTRANGE(""https://docs.google.com/spreadsheets/d/1YTzKr_K5JRaPNV_4z6w8eq_6U9Z-8UIZfBG8lUnhgpg/edit?usp=sharing"",""Agencies With Number of Deals A!A:K""),9,0)"),"258648")</f>
        <v>258648</v>
      </c>
      <c r="E147" s="4" t="s">
        <v>9</v>
      </c>
      <c r="F147" s="6">
        <v>46037</v>
      </c>
      <c r="G147" s="4" t="s">
        <v>10</v>
      </c>
      <c r="H147" s="7">
        <v>2539.7399999999998</v>
      </c>
    </row>
    <row r="148" spans="1:8" ht="12.75" x14ac:dyDescent="0.2">
      <c r="A148" s="4">
        <v>16086048626</v>
      </c>
      <c r="B148" s="4" t="s">
        <v>174</v>
      </c>
      <c r="C148" s="5" t="str">
        <f ca="1">IFERROR(__xludf.DUMMYFUNCTION("VLOOKUP(A148,IMPORTRANGE(""https://docs.google.com/spreadsheets/d/1YTzKr_K5JRaPNV_4z6w8eq_6U9Z-8UIZfBG8lUnhgpg/edit?usp=sharing"",""Agencies With Number of Deals A!A:K""),10,0)"),"063114030")</f>
        <v>063114030</v>
      </c>
      <c r="D148" s="5" t="str">
        <f ca="1">IFERROR(__xludf.DUMMYFUNCTION("VLOOKUP(A148,IMPORTRANGE(""https://docs.google.com/spreadsheets/d/1YTzKr_K5JRaPNV_4z6w8eq_6U9Z-8UIZfBG8lUnhgpg/edit?usp=sharing"",""Agencies With Number of Deals A!A:K""),9,0)"),"8010001441666")</f>
        <v>8010001441666</v>
      </c>
      <c r="E148" s="4" t="s">
        <v>9</v>
      </c>
      <c r="F148" s="6">
        <v>46037</v>
      </c>
      <c r="G148" s="4" t="s">
        <v>10</v>
      </c>
      <c r="H148" s="7">
        <v>115.8</v>
      </c>
    </row>
    <row r="149" spans="1:8" ht="12.75" x14ac:dyDescent="0.2">
      <c r="A149" s="4">
        <v>2935084723</v>
      </c>
      <c r="B149" s="4" t="s">
        <v>175</v>
      </c>
      <c r="C149" s="5" t="str">
        <f ca="1">IFERROR(__xludf.DUMMYFUNCTION("VLOOKUP(A149,IMPORTRANGE(""https://docs.google.com/spreadsheets/d/1YTzKr_K5JRaPNV_4z6w8eq_6U9Z-8UIZfBG8lUnhgpg/edit?usp=sharing"",""Agencies With Number of Deals A!A:K""),10,0)"),"322271627")</f>
        <v>322271627</v>
      </c>
      <c r="D149" s="5" t="str">
        <f ca="1">IFERROR(__xludf.DUMMYFUNCTION("VLOOKUP(A149,IMPORTRANGE(""https://docs.google.com/spreadsheets/d/1YTzKr_K5JRaPNV_4z6w8eq_6U9Z-8UIZfBG8lUnhgpg/edit?usp=sharing"",""Agencies With Number of Deals A!A:K""),9,0)"),"905911108")</f>
        <v>905911108</v>
      </c>
      <c r="E149" s="4" t="s">
        <v>9</v>
      </c>
      <c r="F149" s="6">
        <v>46037</v>
      </c>
      <c r="G149" s="4" t="s">
        <v>10</v>
      </c>
      <c r="H149" s="7">
        <v>78.12</v>
      </c>
    </row>
    <row r="150" spans="1:8" ht="12.75" x14ac:dyDescent="0.2">
      <c r="A150" s="4">
        <v>16371412231</v>
      </c>
      <c r="B150" s="4" t="s">
        <v>176</v>
      </c>
      <c r="C150" s="4" t="s">
        <v>177</v>
      </c>
      <c r="D150" s="4" t="s">
        <v>178</v>
      </c>
      <c r="E150" s="4" t="s">
        <v>9</v>
      </c>
      <c r="F150" s="6">
        <v>46037</v>
      </c>
      <c r="G150" s="4" t="s">
        <v>10</v>
      </c>
      <c r="H150" s="7">
        <v>171.54</v>
      </c>
    </row>
    <row r="151" spans="1:8" ht="12.75" x14ac:dyDescent="0.2">
      <c r="A151" s="4">
        <v>17598789139</v>
      </c>
      <c r="B151" s="4" t="s">
        <v>179</v>
      </c>
      <c r="C151" s="5" t="str">
        <f ca="1">IFERROR(__xludf.DUMMYFUNCTION("VLOOKUP(A151,IMPORTRANGE(""https://docs.google.com/spreadsheets/d/1YTzKr_K5JRaPNV_4z6w8eq_6U9Z-8UIZfBG8lUnhgpg/edit?usp=sharing"",""Agencies With Number of Deals A!A:K""),10,0)"),"111000614")</f>
        <v>111000614</v>
      </c>
      <c r="D151" s="5" t="str">
        <f ca="1">IFERROR(__xludf.DUMMYFUNCTION("VLOOKUP(A151,IMPORTRANGE(""https://docs.google.com/spreadsheets/d/1YTzKr_K5JRaPNV_4z6w8eq_6U9Z-8UIZfBG8lUnhgpg/edit?usp=sharing"",""Agencies With Number of Deals A!A:K""),9,0)"),"908655712")</f>
        <v>908655712</v>
      </c>
      <c r="E151" s="4" t="s">
        <v>9</v>
      </c>
      <c r="F151" s="6">
        <v>46037</v>
      </c>
      <c r="G151" s="4" t="s">
        <v>10</v>
      </c>
      <c r="H151" s="7">
        <v>57.18</v>
      </c>
    </row>
    <row r="152" spans="1:8" ht="12.75" x14ac:dyDescent="0.2">
      <c r="A152" s="4">
        <v>16085994414</v>
      </c>
      <c r="B152" s="4" t="s">
        <v>180</v>
      </c>
      <c r="C152" s="5" t="str">
        <f ca="1">IFERROR(__xludf.DUMMYFUNCTION("VLOOKUP(A152,IMPORTRANGE(""https://docs.google.com/spreadsheets/d/1YTzKr_K5JRaPNV_4z6w8eq_6U9Z-8UIZfBG8lUnhgpg/edit?usp=sharing"",""Agencies With Number of Deals A!A:K""),10,0)"),"101000187")</f>
        <v>101000187</v>
      </c>
      <c r="D152" s="5" t="str">
        <f ca="1">IFERROR(__xludf.DUMMYFUNCTION("VLOOKUP(A152,IMPORTRANGE(""https://docs.google.com/spreadsheets/d/1YTzKr_K5JRaPNV_4z6w8eq_6U9Z-8UIZfBG8lUnhgpg/edit?usp=sharing"",""Agencies With Number of Deals A!A:K""),9,0)"),"145574117308")</f>
        <v>145574117308</v>
      </c>
      <c r="E152" s="4" t="s">
        <v>9</v>
      </c>
      <c r="F152" s="6">
        <v>46037</v>
      </c>
      <c r="G152" s="4" t="s">
        <v>10</v>
      </c>
      <c r="H152" s="7">
        <v>331.8</v>
      </c>
    </row>
    <row r="153" spans="1:8" ht="12.75" x14ac:dyDescent="0.2">
      <c r="A153" s="4">
        <v>85355494693</v>
      </c>
      <c r="B153" s="4" t="s">
        <v>181</v>
      </c>
      <c r="C153" s="4" t="s">
        <v>182</v>
      </c>
      <c r="D153" s="4" t="s">
        <v>183</v>
      </c>
      <c r="E153" s="4" t="s">
        <v>9</v>
      </c>
      <c r="F153" s="6">
        <v>46037</v>
      </c>
      <c r="G153" s="4" t="s">
        <v>10</v>
      </c>
      <c r="H153" s="7">
        <v>81.599999999999994</v>
      </c>
    </row>
    <row r="154" spans="1:8" ht="12.75" x14ac:dyDescent="0.2">
      <c r="A154" s="4">
        <v>671157421</v>
      </c>
      <c r="B154" s="4" t="s">
        <v>184</v>
      </c>
      <c r="C154" s="5" t="str">
        <f ca="1">IFERROR(__xludf.DUMMYFUNCTION("VLOOKUP(A154,IMPORTRANGE(""https://docs.google.com/spreadsheets/d/1YTzKr_K5JRaPNV_4z6w8eq_6U9Z-8UIZfBG8lUnhgpg/edit?usp=sharing"",""Agencies With Number of Deals A!A:K""),10,0)"),"122100024")</f>
        <v>122100024</v>
      </c>
      <c r="D154" s="5" t="str">
        <f ca="1">IFERROR(__xludf.DUMMYFUNCTION("VLOOKUP(A154,IMPORTRANGE(""https://docs.google.com/spreadsheets/d/1YTzKr_K5JRaPNV_4z6w8eq_6U9Z-8UIZfBG8lUnhgpg/edit?usp=sharing"",""Agencies With Number of Deals A!A:K""),9,0)"),"3094639306")</f>
        <v>3094639306</v>
      </c>
      <c r="E154" s="4" t="s">
        <v>9</v>
      </c>
      <c r="F154" s="6">
        <v>46037</v>
      </c>
      <c r="G154" s="4" t="s">
        <v>10</v>
      </c>
      <c r="H154" s="7">
        <v>201.6</v>
      </c>
    </row>
    <row r="155" spans="1:8" ht="12.75" x14ac:dyDescent="0.2">
      <c r="A155" s="4">
        <v>20343249481</v>
      </c>
      <c r="B155" s="4" t="s">
        <v>185</v>
      </c>
      <c r="C155" s="5" t="str">
        <f ca="1">IFERROR(__xludf.DUMMYFUNCTION("VLOOKUP(A155,IMPORTRANGE(""https://docs.google.com/spreadsheets/d/1YTzKr_K5JRaPNV_4z6w8eq_6U9Z-8UIZfBG8lUnhgpg/edit?usp=sharing"",""Agencies With Number of Deals A!A:K""),10,0)"),"125109019")</f>
        <v>125109019</v>
      </c>
      <c r="D155" s="5" t="str">
        <f ca="1">IFERROR(__xludf.DUMMYFUNCTION("VLOOKUP(A155,IMPORTRANGE(""https://docs.google.com/spreadsheets/d/1YTzKr_K5JRaPNV_4z6w8eq_6U9Z-8UIZfBG8lUnhgpg/edit?usp=sharing"",""Agencies With Number of Deals A!A:K""),9,0)"),"875103895152")</f>
        <v>875103895152</v>
      </c>
      <c r="E155" s="4" t="s">
        <v>9</v>
      </c>
      <c r="F155" s="6">
        <v>46037</v>
      </c>
      <c r="G155" s="4" t="s">
        <v>10</v>
      </c>
      <c r="H155" s="7">
        <v>57.9</v>
      </c>
    </row>
    <row r="156" spans="1:8" ht="12.75" x14ac:dyDescent="0.2">
      <c r="A156" s="4">
        <v>7529778433</v>
      </c>
      <c r="B156" s="4" t="s">
        <v>186</v>
      </c>
      <c r="C156" s="5" t="str">
        <f ca="1">IFERROR(__xludf.DUMMYFUNCTION("VLOOKUP(A156,IMPORTRANGE(""https://docs.google.com/spreadsheets/d/1YTzKr_K5JRaPNV_4z6w8eq_6U9Z-8UIZfBG8lUnhgpg/edit?usp=sharing"",""Agencies With Number of Deals A!A:K""),10,0)"),"101100621")</f>
        <v>101100621</v>
      </c>
      <c r="D156" s="5" t="str">
        <f ca="1">IFERROR(__xludf.DUMMYFUNCTION("VLOOKUP(A156,IMPORTRANGE(""https://docs.google.com/spreadsheets/d/1YTzKr_K5JRaPNV_4z6w8eq_6U9Z-8UIZfBG8lUnhgpg/edit?usp=sharing"",""Agencies With Number of Deals A!A:K""),9,0)"),"20109187")</f>
        <v>20109187</v>
      </c>
      <c r="E156" s="4" t="s">
        <v>9</v>
      </c>
      <c r="F156" s="6">
        <v>46037</v>
      </c>
      <c r="G156" s="4" t="s">
        <v>10</v>
      </c>
      <c r="H156" s="7">
        <v>353.58</v>
      </c>
    </row>
    <row r="157" spans="1:8" ht="12.75" x14ac:dyDescent="0.2">
      <c r="A157" s="4">
        <v>18395875976</v>
      </c>
      <c r="B157" s="4" t="s">
        <v>187</v>
      </c>
      <c r="C157" s="5" t="str">
        <f ca="1">IFERROR(__xludf.DUMMYFUNCTION("VLOOKUP(A157,IMPORTRANGE(""https://docs.google.com/spreadsheets/d/1YTzKr_K5JRaPNV_4z6w8eq_6U9Z-8UIZfBG8lUnhgpg/edit?usp=sharing"",""Agencies With Number of Deals A!A:K""),10,0)"),"111000614")</f>
        <v>111000614</v>
      </c>
      <c r="D157" s="5" t="str">
        <f ca="1">IFERROR(__xludf.DUMMYFUNCTION("VLOOKUP(A157,IMPORTRANGE(""https://docs.google.com/spreadsheets/d/1YTzKr_K5JRaPNV_4z6w8eq_6U9Z-8UIZfBG8lUnhgpg/edit?usp=sharing"",""Agencies With Number of Deals A!A:K""),9,0)"),"702086414")</f>
        <v>702086414</v>
      </c>
      <c r="E157" s="4" t="s">
        <v>9</v>
      </c>
      <c r="F157" s="6">
        <v>46037</v>
      </c>
      <c r="G157" s="4" t="s">
        <v>10</v>
      </c>
      <c r="H157" s="7">
        <v>44.88</v>
      </c>
    </row>
    <row r="158" spans="1:8" ht="12.75" x14ac:dyDescent="0.2">
      <c r="A158" s="4">
        <v>671151633</v>
      </c>
      <c r="B158" s="4" t="s">
        <v>188</v>
      </c>
      <c r="C158" s="5" t="str">
        <f ca="1">IFERROR(__xludf.DUMMYFUNCTION("VLOOKUP(A158,IMPORTRANGE(""https://docs.google.com/spreadsheets/d/1YTzKr_K5JRaPNV_4z6w8eq_6U9Z-8UIZfBG8lUnhgpg/edit?usp=sharing"",""Agencies With Number of Deals A!A:K""),10,0)"),"072413829")</f>
        <v>072413829</v>
      </c>
      <c r="D158" s="5" t="str">
        <f ca="1">IFERROR(__xludf.DUMMYFUNCTION("VLOOKUP(A158,IMPORTRANGE(""https://docs.google.com/spreadsheets/d/1YTzKr_K5JRaPNV_4z6w8eq_6U9Z-8UIZfBG8lUnhgpg/edit?usp=sharing"",""Agencies With Number of Deals A!A:K""),9,0)"),"4100593941")</f>
        <v>4100593941</v>
      </c>
      <c r="E158" s="4" t="s">
        <v>9</v>
      </c>
      <c r="F158" s="6">
        <v>46037</v>
      </c>
      <c r="G158" s="4" t="s">
        <v>10</v>
      </c>
      <c r="H158" s="7">
        <v>139.44</v>
      </c>
    </row>
    <row r="159" spans="1:8" ht="12.75" x14ac:dyDescent="0.2">
      <c r="A159" s="4">
        <v>1011623609</v>
      </c>
      <c r="B159" s="4" t="s">
        <v>189</v>
      </c>
      <c r="C159" s="5" t="str">
        <f ca="1">IFERROR(__xludf.DUMMYFUNCTION("VLOOKUP(A159,IMPORTRANGE(""https://docs.google.com/spreadsheets/d/1YTzKr_K5JRaPNV_4z6w8eq_6U9Z-8UIZfBG8lUnhgpg/edit?usp=sharing"",""Agencies With Number of Deals A!A:K""),10,0)"),"075901134")</f>
        <v>075901134</v>
      </c>
      <c r="D159" s="5" t="str">
        <f ca="1">IFERROR(__xludf.DUMMYFUNCTION("VLOOKUP(A159,IMPORTRANGE(""https://docs.google.com/spreadsheets/d/1YTzKr_K5JRaPNV_4z6w8eq_6U9Z-8UIZfBG8lUnhgpg/edit?usp=sharing"",""Agencies With Number of Deals A!A:K""),9,0)"),"25512113")</f>
        <v>25512113</v>
      </c>
      <c r="E159" s="4" t="s">
        <v>9</v>
      </c>
      <c r="F159" s="6">
        <v>46037</v>
      </c>
      <c r="G159" s="4" t="s">
        <v>10</v>
      </c>
      <c r="H159" s="7">
        <v>174.84</v>
      </c>
    </row>
    <row r="160" spans="1:8" ht="12.75" x14ac:dyDescent="0.2">
      <c r="A160" s="4">
        <v>19544684084</v>
      </c>
      <c r="B160" s="4" t="s">
        <v>190</v>
      </c>
      <c r="C160" s="5" t="str">
        <f ca="1">IFERROR(__xludf.DUMMYFUNCTION("VLOOKUP(A160,IMPORTRANGE(""https://docs.google.com/spreadsheets/d/1YTzKr_K5JRaPNV_4z6w8eq_6U9Z-8UIZfBG8lUnhgpg/edit?usp=sharing"",""Agencies With Number of Deals A!A:K""),10,0)"),"101909097")</f>
        <v>101909097</v>
      </c>
      <c r="D160" s="5" t="str">
        <f ca="1">IFERROR(__xludf.DUMMYFUNCTION("VLOOKUP(A160,IMPORTRANGE(""https://docs.google.com/spreadsheets/d/1YTzKr_K5JRaPNV_4z6w8eq_6U9Z-8UIZfBG8lUnhgpg/edit?usp=sharing"",""Agencies With Number of Deals A!A:K""),9,0)"),"046124")</f>
        <v>046124</v>
      </c>
      <c r="E160" s="4" t="s">
        <v>9</v>
      </c>
      <c r="F160" s="6">
        <v>46037</v>
      </c>
      <c r="G160" s="4" t="s">
        <v>10</v>
      </c>
      <c r="H160" s="7">
        <v>480.24</v>
      </c>
    </row>
    <row r="161" spans="1:8" ht="12.75" x14ac:dyDescent="0.2">
      <c r="A161" s="4">
        <v>16999083283</v>
      </c>
      <c r="B161" s="4" t="s">
        <v>191</v>
      </c>
      <c r="C161" s="5" t="str">
        <f ca="1">IFERROR(__xludf.DUMMYFUNCTION("VLOOKUP(A161,IMPORTRANGE(""https://docs.google.com/spreadsheets/d/1YTzKr_K5JRaPNV_4z6w8eq_6U9Z-8UIZfBG8lUnhgpg/edit?usp=sharing"",""Agencies With Number of Deals A!A:K""),10,0)"),"081006162")</f>
        <v>081006162</v>
      </c>
      <c r="D161" s="5" t="str">
        <f ca="1">IFERROR(__xludf.DUMMYFUNCTION("VLOOKUP(A161,IMPORTRANGE(""https://docs.google.com/spreadsheets/d/1YTzKr_K5JRaPNV_4z6w8eq_6U9Z-8UIZfBG8lUnhgpg/edit?usp=sharing"",""Agencies With Number of Deals A!A:K""),9,0)"),"4010002606")</f>
        <v>4010002606</v>
      </c>
      <c r="E161" s="4" t="s">
        <v>9</v>
      </c>
      <c r="F161" s="6">
        <v>46037</v>
      </c>
      <c r="G161" s="4" t="s">
        <v>10</v>
      </c>
      <c r="H161" s="7">
        <v>69.144000000000005</v>
      </c>
    </row>
    <row r="162" spans="1:8" ht="12.75" x14ac:dyDescent="0.2">
      <c r="A162" s="4">
        <v>35411132778</v>
      </c>
      <c r="B162" s="4" t="s">
        <v>192</v>
      </c>
      <c r="C162" s="5" t="str">
        <f ca="1">IFERROR(__xludf.DUMMYFUNCTION("VLOOKUP(A162,IMPORTRANGE(""https://docs.google.com/spreadsheets/d/1YTzKr_K5JRaPNV_4z6w8eq_6U9Z-8UIZfBG8lUnhgpg/edit?usp=sharing"",""Agencies With Number of Deals A!A:K""),10,0)"),"061100606")</f>
        <v>061100606</v>
      </c>
      <c r="D162" s="5" t="str">
        <f ca="1">IFERROR(__xludf.DUMMYFUNCTION("VLOOKUP(A162,IMPORTRANGE(""https://docs.google.com/spreadsheets/d/1YTzKr_K5JRaPNV_4z6w8eq_6U9Z-8UIZfBG8lUnhgpg/edit?usp=sharing"",""Agencies With Number of Deals A!A:K""),9,0)"),"1015532771")</f>
        <v>1015532771</v>
      </c>
      <c r="E162" s="4" t="s">
        <v>9</v>
      </c>
      <c r="F162" s="6">
        <v>46037</v>
      </c>
      <c r="G162" s="4" t="s">
        <v>10</v>
      </c>
      <c r="H162" s="7">
        <v>1132.56</v>
      </c>
    </row>
    <row r="163" spans="1:8" ht="12.75" x14ac:dyDescent="0.2">
      <c r="A163" s="4">
        <v>18335097524</v>
      </c>
      <c r="B163" s="4" t="s">
        <v>193</v>
      </c>
      <c r="C163" s="5" t="str">
        <f ca="1">IFERROR(__xludf.DUMMYFUNCTION("VLOOKUP(A163,IMPORTRANGE(""https://docs.google.com/spreadsheets/d/1YTzKr_K5JRaPNV_4z6w8eq_6U9Z-8UIZfBG8lUnhgpg/edit?usp=sharing"",""Agencies With Number of Deals A!A:K""),10,0)"),"111000614")</f>
        <v>111000614</v>
      </c>
      <c r="D163" s="5" t="str">
        <f ca="1">IFERROR(__xludf.DUMMYFUNCTION("VLOOKUP(A163,IMPORTRANGE(""https://docs.google.com/spreadsheets/d/1YTzKr_K5JRaPNV_4z6w8eq_6U9Z-8UIZfBG8lUnhgpg/edit?usp=sharing"",""Agencies With Number of Deals A!A:K""),9,0)"),"715638695")</f>
        <v>715638695</v>
      </c>
      <c r="E163" s="4" t="s">
        <v>9</v>
      </c>
      <c r="F163" s="6">
        <v>46037</v>
      </c>
      <c r="G163" s="4" t="s">
        <v>10</v>
      </c>
      <c r="H163" s="7">
        <v>74.040000000000006</v>
      </c>
    </row>
    <row r="164" spans="1:8" ht="12.75" x14ac:dyDescent="0.2">
      <c r="A164" s="4">
        <v>16086005886</v>
      </c>
      <c r="B164" s="4" t="s">
        <v>194</v>
      </c>
      <c r="C164" s="5" t="str">
        <f ca="1">IFERROR(__xludf.DUMMYFUNCTION("VLOOKUP(A164,IMPORTRANGE(""https://docs.google.com/spreadsheets/d/1YTzKr_K5JRaPNV_4z6w8eq_6U9Z-8UIZfBG8lUnhgpg/edit?usp=sharing"",""Agencies With Number of Deals A!A:K""),10,0)"),"083000137")</f>
        <v>083000137</v>
      </c>
      <c r="D164" s="5" t="str">
        <f ca="1">IFERROR(__xludf.DUMMYFUNCTION("VLOOKUP(A164,IMPORTRANGE(""https://docs.google.com/spreadsheets/d/1YTzKr_K5JRaPNV_4z6w8eq_6U9Z-8UIZfBG8lUnhgpg/edit?usp=sharing"",""Agencies With Number of Deals A!A:K""),9,0)"),"871136997")</f>
        <v>871136997</v>
      </c>
      <c r="E164" s="4" t="s">
        <v>9</v>
      </c>
      <c r="F164" s="6">
        <v>46037</v>
      </c>
      <c r="G164" s="4" t="s">
        <v>10</v>
      </c>
      <c r="H164" s="7">
        <v>923.22</v>
      </c>
    </row>
    <row r="165" spans="1:8" ht="12.75" x14ac:dyDescent="0.2">
      <c r="A165" s="4">
        <v>16999101742</v>
      </c>
      <c r="B165" s="4" t="s">
        <v>195</v>
      </c>
      <c r="C165" s="5" t="str">
        <f ca="1">IFERROR(__xludf.DUMMYFUNCTION("VLOOKUP(A165,IMPORTRANGE(""https://docs.google.com/spreadsheets/d/1YTzKr_K5JRaPNV_4z6w8eq_6U9Z-8UIZfBG8lUnhgpg/edit?usp=sharing"",""Agencies With Number of Deals A!A:K""),10,0)"),"111000025")</f>
        <v>111000025</v>
      </c>
      <c r="D165" s="5" t="str">
        <f ca="1">IFERROR(__xludf.DUMMYFUNCTION("VLOOKUP(A165,IMPORTRANGE(""https://docs.google.com/spreadsheets/d/1YTzKr_K5JRaPNV_4z6w8eq_6U9Z-8UIZfBG8lUnhgpg/edit?usp=sharing"",""Agencies With Number of Deals A!A:K""),9,0)"),"488111718612")</f>
        <v>488111718612</v>
      </c>
      <c r="E165" s="4" t="s">
        <v>9</v>
      </c>
      <c r="F165" s="6">
        <v>46037</v>
      </c>
      <c r="G165" s="4" t="s">
        <v>10</v>
      </c>
      <c r="H165" s="7">
        <v>43.8</v>
      </c>
    </row>
    <row r="166" spans="1:8" ht="12.75" x14ac:dyDescent="0.2">
      <c r="A166" s="4">
        <v>18960120140</v>
      </c>
      <c r="B166" s="4" t="s">
        <v>196</v>
      </c>
      <c r="C166" s="5" t="str">
        <f ca="1">IFERROR(__xludf.DUMMYFUNCTION("VLOOKUP(A166,IMPORTRANGE(""https://docs.google.com/spreadsheets/d/1YTzKr_K5JRaPNV_4z6w8eq_6U9Z-8UIZfBG8lUnhgpg/edit?usp=sharing"",""Agencies With Number of Deals A!A:K""),10,0)"),"061000227")</f>
        <v>061000227</v>
      </c>
      <c r="D166" s="5" t="str">
        <f ca="1">IFERROR(__xludf.DUMMYFUNCTION("VLOOKUP(A166,IMPORTRANGE(""https://docs.google.com/spreadsheets/d/1YTzKr_K5JRaPNV_4z6w8eq_6U9Z-8UIZfBG8lUnhgpg/edit?usp=sharing"",""Agencies With Number of Deals A!A:K""),9,0)"),"2818985901")</f>
        <v>2818985901</v>
      </c>
      <c r="E166" s="4" t="s">
        <v>9</v>
      </c>
      <c r="F166" s="6">
        <v>46037</v>
      </c>
      <c r="G166" s="4" t="s">
        <v>10</v>
      </c>
      <c r="H166" s="7">
        <v>1787.28</v>
      </c>
    </row>
    <row r="167" spans="1:8" ht="12.75" x14ac:dyDescent="0.2">
      <c r="A167" s="4">
        <v>16754753565</v>
      </c>
      <c r="B167" s="4" t="s">
        <v>197</v>
      </c>
      <c r="C167" s="5" t="str">
        <f ca="1">IFERROR(__xludf.DUMMYFUNCTION("VLOOKUP(A167,IMPORTRANGE(""https://docs.google.com/spreadsheets/d/1YTzKr_K5JRaPNV_4z6w8eq_6U9Z-8UIZfBG8lUnhgpg/edit?usp=sharing"",""Agencies With Number of Deals A!A:K""),10,0)"),"122105278")</f>
        <v>122105278</v>
      </c>
      <c r="D167" s="5" t="str">
        <f ca="1">IFERROR(__xludf.DUMMYFUNCTION("VLOOKUP(A167,IMPORTRANGE(""https://docs.google.com/spreadsheets/d/1YTzKr_K5JRaPNV_4z6w8eq_6U9Z-8UIZfBG8lUnhgpg/edit?usp=sharing"",""Agencies With Number of Deals A!A:K""),9,0)"),"1907877326")</f>
        <v>1907877326</v>
      </c>
      <c r="E167" s="4" t="s">
        <v>9</v>
      </c>
      <c r="F167" s="6">
        <v>46037</v>
      </c>
      <c r="G167" s="4" t="s">
        <v>10</v>
      </c>
      <c r="H167" s="7">
        <v>785.36</v>
      </c>
    </row>
    <row r="168" spans="1:8" ht="12.75" x14ac:dyDescent="0.2">
      <c r="A168" s="4">
        <v>16755044948</v>
      </c>
      <c r="B168" s="4" t="s">
        <v>198</v>
      </c>
      <c r="C168" s="5" t="str">
        <f ca="1">IFERROR(__xludf.DUMMYFUNCTION("VLOOKUP(A168,IMPORTRANGE(""https://docs.google.com/spreadsheets/d/1YTzKr_K5JRaPNV_4z6w8eq_6U9Z-8UIZfBG8lUnhgpg/edit?usp=sharing"",""Agencies With Number of Deals A!A:K""),10,0)"),"121000358")</f>
        <v>121000358</v>
      </c>
      <c r="D168" s="5" t="str">
        <f ca="1">IFERROR(__xludf.DUMMYFUNCTION("VLOOKUP(A168,IMPORTRANGE(""https://docs.google.com/spreadsheets/d/1YTzKr_K5JRaPNV_4z6w8eq_6U9Z-8UIZfBG8lUnhgpg/edit?usp=sharing"",""Agencies With Number of Deals A!A:K""),9,0)"),"1291176559")</f>
        <v>1291176559</v>
      </c>
      <c r="E168" s="4" t="s">
        <v>9</v>
      </c>
      <c r="F168" s="6">
        <v>46037</v>
      </c>
      <c r="G168" s="4" t="s">
        <v>10</v>
      </c>
      <c r="H168" s="7">
        <v>2060.7600000000002</v>
      </c>
    </row>
    <row r="169" spans="1:8" ht="12.75" x14ac:dyDescent="0.2">
      <c r="A169" s="4">
        <v>16783235975</v>
      </c>
      <c r="B169" s="4" t="s">
        <v>199</v>
      </c>
      <c r="C169" s="5" t="str">
        <f ca="1">IFERROR(__xludf.DUMMYFUNCTION("VLOOKUP(A169,IMPORTRANGE(""https://docs.google.com/spreadsheets/d/1YTzKr_K5JRaPNV_4z6w8eq_6U9Z-8UIZfBG8lUnhgpg/edit?usp=sharing"",""Agencies With Number of Deals A!A:K""),10,0)"),"321081669")</f>
        <v>321081669</v>
      </c>
      <c r="D169" s="5" t="str">
        <f ca="1">IFERROR(__xludf.DUMMYFUNCTION("VLOOKUP(A169,IMPORTRANGE(""https://docs.google.com/spreadsheets/d/1YTzKr_K5JRaPNV_4z6w8eq_6U9Z-8UIZfBG8lUnhgpg/edit?usp=sharing"",""Agencies With Number of Deals A!A:K""),9,0)"),"80010163493")</f>
        <v>80010163493</v>
      </c>
      <c r="E169" s="4" t="s">
        <v>9</v>
      </c>
      <c r="F169" s="6">
        <v>46037</v>
      </c>
      <c r="G169" s="4" t="s">
        <v>10</v>
      </c>
      <c r="H169" s="7">
        <v>1001.78</v>
      </c>
    </row>
    <row r="170" spans="1:8" ht="12.75" x14ac:dyDescent="0.2">
      <c r="A170" s="4">
        <v>655590207</v>
      </c>
      <c r="B170" s="4" t="s">
        <v>200</v>
      </c>
      <c r="C170" s="5" t="str">
        <f ca="1">IFERROR(__xludf.DUMMYFUNCTION("VLOOKUP(A170,IMPORTRANGE(""https://docs.google.com/spreadsheets/d/1YTzKr_K5JRaPNV_4z6w8eq_6U9Z-8UIZfBG8lUnhgpg/edit?usp=sharing"",""Agencies With Number of Deals A!A:K""),10,0)"),"122105278")</f>
        <v>122105278</v>
      </c>
      <c r="D170" s="5" t="str">
        <f ca="1">IFERROR(__xludf.DUMMYFUNCTION("VLOOKUP(A170,IMPORTRANGE(""https://docs.google.com/spreadsheets/d/1YTzKr_K5JRaPNV_4z6w8eq_6U9Z-8UIZfBG8lUnhgpg/edit?usp=sharing"",""Agencies With Number of Deals A!A:K""),9,0)"),"8545237318")</f>
        <v>8545237318</v>
      </c>
      <c r="E170" s="4" t="s">
        <v>9</v>
      </c>
      <c r="F170" s="6">
        <v>46037</v>
      </c>
      <c r="G170" s="4" t="s">
        <v>10</v>
      </c>
      <c r="H170" s="7">
        <v>127.68</v>
      </c>
    </row>
    <row r="171" spans="1:8" ht="12.75" x14ac:dyDescent="0.2">
      <c r="A171" s="4">
        <v>16086014503</v>
      </c>
      <c r="B171" s="4" t="s">
        <v>201</v>
      </c>
      <c r="C171" s="5" t="str">
        <f ca="1">IFERROR(__xludf.DUMMYFUNCTION("VLOOKUP(A171,IMPORTRANGE(""https://docs.google.com/spreadsheets/d/1YTzKr_K5JRaPNV_4z6w8eq_6U9Z-8UIZfBG8lUnhgpg/edit?usp=sharing"",""Agencies With Number of Deals A!A:K""),10,0)"),"122100024")</f>
        <v>122100024</v>
      </c>
      <c r="D171" s="5" t="str">
        <f ca="1">IFERROR(__xludf.DUMMYFUNCTION("VLOOKUP(A171,IMPORTRANGE(""https://docs.google.com/spreadsheets/d/1YTzKr_K5JRaPNV_4z6w8eq_6U9Z-8UIZfBG8lUnhgpg/edit?usp=sharing"",""Agencies With Number of Deals A!A:K""),9,0)"),"694693656")</f>
        <v>694693656</v>
      </c>
      <c r="E171" s="4" t="s">
        <v>9</v>
      </c>
      <c r="F171" s="6">
        <v>46037</v>
      </c>
      <c r="G171" s="4" t="s">
        <v>10</v>
      </c>
      <c r="H171" s="7">
        <v>127.68</v>
      </c>
    </row>
    <row r="172" spans="1:8" ht="12.75" x14ac:dyDescent="0.2">
      <c r="A172" s="4">
        <v>16755101594</v>
      </c>
      <c r="B172" s="4" t="s">
        <v>202</v>
      </c>
      <c r="C172" s="5" t="str">
        <f ca="1">IFERROR(__xludf.DUMMYFUNCTION("VLOOKUP(A172,IMPORTRANGE(""https://docs.google.com/spreadsheets/d/1YTzKr_K5JRaPNV_4z6w8eq_6U9Z-8UIZfBG8lUnhgpg/edit?usp=sharing"",""Agencies With Number of Deals A!A:K""),10,0)"),"031202084")</f>
        <v>031202084</v>
      </c>
      <c r="D172" s="5" t="str">
        <f ca="1">IFERROR(__xludf.DUMMYFUNCTION("VLOOKUP(A172,IMPORTRANGE(""https://docs.google.com/spreadsheets/d/1YTzKr_K5JRaPNV_4z6w8eq_6U9Z-8UIZfBG8lUnhgpg/edit?usp=sharing"",""Agencies With Number of Deals A!A:K""),9,0)"),"383011387219")</f>
        <v>383011387219</v>
      </c>
      <c r="E172" s="4" t="s">
        <v>9</v>
      </c>
      <c r="F172" s="6">
        <v>46037</v>
      </c>
      <c r="G172" s="4" t="s">
        <v>10</v>
      </c>
      <c r="H172" s="7">
        <v>150.6</v>
      </c>
    </row>
    <row r="173" spans="1:8" ht="12.75" x14ac:dyDescent="0.2">
      <c r="A173" s="4">
        <v>16753120065</v>
      </c>
      <c r="B173" s="4" t="s">
        <v>203</v>
      </c>
      <c r="C173" s="5" t="str">
        <f ca="1">IFERROR(__xludf.DUMMYFUNCTION("VLOOKUP(A173,IMPORTRANGE(""https://docs.google.com/spreadsheets/d/1YTzKr_K5JRaPNV_4z6w8eq_6U9Z-8UIZfBG8lUnhgpg/edit?usp=sharing"",""Agencies With Number of Deals A!A:K""),10,0)"),"104901652")</f>
        <v>104901652</v>
      </c>
      <c r="D173" s="5" t="str">
        <f ca="1">IFERROR(__xludf.DUMMYFUNCTION("VLOOKUP(A173,IMPORTRANGE(""https://docs.google.com/spreadsheets/d/1YTzKr_K5JRaPNV_4z6w8eq_6U9Z-8UIZfBG8lUnhgpg/edit?usp=sharing"",""Agencies With Number of Deals A!A:K""),9,0)"),"001658077")</f>
        <v>001658077</v>
      </c>
      <c r="E173" s="4" t="s">
        <v>9</v>
      </c>
      <c r="F173" s="6">
        <v>46037</v>
      </c>
      <c r="G173" s="4" t="s">
        <v>10</v>
      </c>
      <c r="H173" s="7">
        <v>210.96</v>
      </c>
    </row>
    <row r="174" spans="1:8" ht="12.75" x14ac:dyDescent="0.2">
      <c r="A174" s="4">
        <v>16999117838</v>
      </c>
      <c r="B174" s="4" t="s">
        <v>204</v>
      </c>
      <c r="C174" s="5" t="str">
        <f ca="1">IFERROR(__xludf.DUMMYFUNCTION("VLOOKUP(A174,IMPORTRANGE(""https://docs.google.com/spreadsheets/d/1YTzKr_K5JRaPNV_4z6w8eq_6U9Z-8UIZfBG8lUnhgpg/edit?usp=sharing"",""Agencies With Number of Deals A!A:K""),10,0)"),"111000614")</f>
        <v>111000614</v>
      </c>
      <c r="D174" s="5" t="str">
        <f ca="1">IFERROR(__xludf.DUMMYFUNCTION("VLOOKUP(A174,IMPORTRANGE(""https://docs.google.com/spreadsheets/d/1YTzKr_K5JRaPNV_4z6w8eq_6U9Z-8UIZfBG8lUnhgpg/edit?usp=sharing"",""Agencies With Number of Deals A!A:K""),9,0)"),"747482396")</f>
        <v>747482396</v>
      </c>
      <c r="E174" s="4" t="s">
        <v>9</v>
      </c>
      <c r="F174" s="6">
        <v>46037</v>
      </c>
      <c r="G174" s="4" t="s">
        <v>10</v>
      </c>
      <c r="H174" s="7">
        <v>18.84</v>
      </c>
    </row>
    <row r="175" spans="1:8" ht="12.75" x14ac:dyDescent="0.2">
      <c r="A175" s="4">
        <v>16085857397</v>
      </c>
      <c r="B175" s="4" t="s">
        <v>205</v>
      </c>
      <c r="C175" s="5" t="str">
        <f ca="1">IFERROR(__xludf.DUMMYFUNCTION("VLOOKUP(A175,IMPORTRANGE(""https://docs.google.com/spreadsheets/d/1YTzKr_K5JRaPNV_4z6w8eq_6U9Z-8UIZfBG8lUnhgpg/edit?usp=sharing"",""Agencies With Number of Deals A!A:K""),10,0)"),"044000024")</f>
        <v>044000024</v>
      </c>
      <c r="D175" s="5" t="str">
        <f ca="1">IFERROR(__xludf.DUMMYFUNCTION("VLOOKUP(A175,IMPORTRANGE(""https://docs.google.com/spreadsheets/d/1YTzKr_K5JRaPNV_4z6w8eq_6U9Z-8UIZfBG8lUnhgpg/edit?usp=sharing"",""Agencies With Number of Deals A!A:K""),9,0)"),"01648332498")</f>
        <v>01648332498</v>
      </c>
      <c r="E175" s="4" t="s">
        <v>9</v>
      </c>
      <c r="F175" s="6">
        <v>46037</v>
      </c>
      <c r="G175" s="4" t="s">
        <v>10</v>
      </c>
      <c r="H175" s="7">
        <v>1916.76</v>
      </c>
    </row>
    <row r="176" spans="1:8" ht="12.75" x14ac:dyDescent="0.2">
      <c r="A176" s="4">
        <v>20485128199</v>
      </c>
      <c r="B176" s="4" t="s">
        <v>206</v>
      </c>
      <c r="C176" s="5" t="str">
        <f ca="1">IFERROR(__xludf.DUMMYFUNCTION("VLOOKUP(A176,IMPORTRANGE(""https://docs.google.com/spreadsheets/d/1YTzKr_K5JRaPNV_4z6w8eq_6U9Z-8UIZfBG8lUnhgpg/edit?usp=sharing"",""Agencies With Number of Deals A!A:K""),10,0)"),"061211870")</f>
        <v>061211870</v>
      </c>
      <c r="D176" s="5" t="str">
        <f ca="1">IFERROR(__xludf.DUMMYFUNCTION("VLOOKUP(A176,IMPORTRANGE(""https://docs.google.com/spreadsheets/d/1YTzKr_K5JRaPNV_4z6w8eq_6U9Z-8UIZfBG8lUnhgpg/edit?usp=sharing"",""Agencies With Number of Deals A!A:K""),9,0)"),"24488960")</f>
        <v>24488960</v>
      </c>
      <c r="E176" s="4" t="s">
        <v>9</v>
      </c>
      <c r="F176" s="6">
        <v>46037</v>
      </c>
      <c r="G176" s="4" t="s">
        <v>10</v>
      </c>
      <c r="H176" s="7">
        <v>1283.6400000000001</v>
      </c>
    </row>
    <row r="177" spans="1:8" ht="12.75" x14ac:dyDescent="0.2">
      <c r="A177" s="4">
        <v>18627287879</v>
      </c>
      <c r="B177" s="4" t="s">
        <v>207</v>
      </c>
      <c r="C177" s="5" t="str">
        <f ca="1">IFERROR(__xludf.DUMMYFUNCTION("VLOOKUP(A177,IMPORTRANGE(""https://docs.google.com/spreadsheets/d/1YTzKr_K5JRaPNV_4z6w8eq_6U9Z-8UIZfBG8lUnhgpg/edit?usp=sharing"",""Agencies With Number of Deals A!A:K""),10,0)"),"031101334")</f>
        <v>031101334</v>
      </c>
      <c r="D177" s="5" t="str">
        <f ca="1">IFERROR(__xludf.DUMMYFUNCTION("VLOOKUP(A177,IMPORTRANGE(""https://docs.google.com/spreadsheets/d/1YTzKr_K5JRaPNV_4z6w8eq_6U9Z-8UIZfBG8lUnhgpg/edit?usp=sharing"",""Agencies With Number of Deals A!A:K""),9,0)"),"411025569905")</f>
        <v>411025569905</v>
      </c>
      <c r="E177" s="4" t="s">
        <v>9</v>
      </c>
      <c r="F177" s="6">
        <v>46037</v>
      </c>
      <c r="G177" s="4" t="s">
        <v>10</v>
      </c>
      <c r="H177" s="7">
        <v>804.36</v>
      </c>
    </row>
    <row r="178" spans="1:8" ht="12.75" x14ac:dyDescent="0.2">
      <c r="A178" s="4">
        <v>25026267279</v>
      </c>
      <c r="B178" s="4" t="s">
        <v>208</v>
      </c>
      <c r="C178" s="4">
        <v>102001017</v>
      </c>
      <c r="D178" s="4">
        <v>781272601</v>
      </c>
      <c r="E178" s="4" t="s">
        <v>9</v>
      </c>
      <c r="F178" s="6">
        <v>46037</v>
      </c>
      <c r="G178" s="4" t="s">
        <v>10</v>
      </c>
      <c r="H178" s="7">
        <v>62164.2</v>
      </c>
    </row>
    <row r="179" spans="1:8" ht="12.75" x14ac:dyDescent="0.2">
      <c r="A179" s="4">
        <v>22035585442</v>
      </c>
      <c r="B179" s="4" t="s">
        <v>209</v>
      </c>
      <c r="C179" s="5" t="str">
        <f ca="1">IFERROR(__xludf.DUMMYFUNCTION("VLOOKUP(A179,IMPORTRANGE(""https://docs.google.com/spreadsheets/d/1YTzKr_K5JRaPNV_4z6w8eq_6U9Z-8UIZfBG8lUnhgpg/edit?usp=sharing"",""Agencies With Number of Deals A!A:K""),10,0)"),"111900659")</f>
        <v>111900659</v>
      </c>
      <c r="D179" s="5" t="str">
        <f ca="1">IFERROR(__xludf.DUMMYFUNCTION("VLOOKUP(A179,IMPORTRANGE(""https://docs.google.com/spreadsheets/d/1YTzKr_K5JRaPNV_4z6w8eq_6U9Z-8UIZfBG8lUnhgpg/edit?usp=sharing"",""Agencies With Number of Deals A!A:K""),9,0)"),"6906027586")</f>
        <v>6906027586</v>
      </c>
      <c r="E179" s="4" t="s">
        <v>9</v>
      </c>
      <c r="F179" s="6">
        <v>46037</v>
      </c>
      <c r="G179" s="4" t="s">
        <v>10</v>
      </c>
      <c r="H179" s="7">
        <v>108.6</v>
      </c>
    </row>
    <row r="180" spans="1:8" ht="12.75" x14ac:dyDescent="0.2">
      <c r="A180" s="4">
        <v>22765172117</v>
      </c>
      <c r="B180" s="4" t="s">
        <v>210</v>
      </c>
      <c r="C180" s="5" t="str">
        <f ca="1">IFERROR(__xludf.DUMMYFUNCTION("VLOOKUP(A180,IMPORTRANGE(""https://docs.google.com/spreadsheets/d/1YTzKr_K5JRaPNV_4z6w8eq_6U9Z-8UIZfBG8lUnhgpg/edit?usp=sharing"",""Agencies With Number of Deals A!A:K""),10,0)"),"031308807")</f>
        <v>031308807</v>
      </c>
      <c r="D180" s="5" t="str">
        <f ca="1">IFERROR(__xludf.DUMMYFUNCTION("VLOOKUP(A180,IMPORTRANGE(""https://docs.google.com/spreadsheets/d/1YTzKr_K5JRaPNV_4z6w8eq_6U9Z-8UIZfBG8lUnhgpg/edit?usp=sharing"",""Agencies With Number of Deals A!A:K""),9,0)"),"19139617")</f>
        <v>19139617</v>
      </c>
      <c r="E180" s="4" t="s">
        <v>9</v>
      </c>
      <c r="F180" s="6">
        <v>46037</v>
      </c>
      <c r="G180" s="4" t="s">
        <v>10</v>
      </c>
      <c r="H180" s="7">
        <v>520.79999999999995</v>
      </c>
    </row>
    <row r="181" spans="1:8" ht="12.75" x14ac:dyDescent="0.2">
      <c r="A181" s="4">
        <v>35999055648</v>
      </c>
      <c r="B181" s="4" t="s">
        <v>211</v>
      </c>
      <c r="C181" s="5" t="str">
        <f ca="1">IFERROR(__xludf.DUMMYFUNCTION("VLOOKUP(A181,IMPORTRANGE(""https://docs.google.com/spreadsheets/d/1YTzKr_K5JRaPNV_4z6w8eq_6U9Z-8UIZfBG8lUnhgpg/edit?usp=sharing"",""Agencies With Number of Deals A!A:K""),10,0)"),"071000039")</f>
        <v>071000039</v>
      </c>
      <c r="D181" s="5" t="str">
        <f ca="1">IFERROR(__xludf.DUMMYFUNCTION("VLOOKUP(A181,IMPORTRANGE(""https://docs.google.com/spreadsheets/d/1YTzKr_K5JRaPNV_4z6w8eq_6U9Z-8UIZfBG8lUnhgpg/edit?usp=sharing"",""Agencies With Number of Deals A!A:K""),9,0)"),"8188990477")</f>
        <v>8188990477</v>
      </c>
      <c r="E181" s="4" t="s">
        <v>9</v>
      </c>
      <c r="F181" s="6">
        <v>46037</v>
      </c>
      <c r="G181" s="4" t="s">
        <v>10</v>
      </c>
      <c r="H181" s="7">
        <v>182.88</v>
      </c>
    </row>
    <row r="182" spans="1:8" ht="12.75" x14ac:dyDescent="0.2">
      <c r="A182" s="4">
        <v>670826322</v>
      </c>
      <c r="B182" s="4" t="s">
        <v>212</v>
      </c>
      <c r="C182" s="5" t="str">
        <f ca="1">IFERROR(__xludf.DUMMYFUNCTION("VLOOKUP(A182,IMPORTRANGE(""https://docs.google.com/spreadsheets/d/1YTzKr_K5JRaPNV_4z6w8eq_6U9Z-8UIZfBG8lUnhgpg/edit?usp=sharing"",""Agencies With Number of Deals A!A:K""),10,0)"),"121000358")</f>
        <v>121000358</v>
      </c>
      <c r="D182" s="5" t="str">
        <f ca="1">IFERROR(__xludf.DUMMYFUNCTION("VLOOKUP(A182,IMPORTRANGE(""https://docs.google.com/spreadsheets/d/1YTzKr_K5JRaPNV_4z6w8eq_6U9Z-8UIZfBG8lUnhgpg/edit?usp=sharing"",""Agencies With Number of Deals A!A:K""),9,0)"),"1453355426")</f>
        <v>1453355426</v>
      </c>
      <c r="E182" s="4" t="s">
        <v>9</v>
      </c>
      <c r="F182" s="6">
        <v>46037</v>
      </c>
      <c r="G182" s="4" t="s">
        <v>10</v>
      </c>
      <c r="H182" s="7">
        <v>65.94</v>
      </c>
    </row>
    <row r="183" spans="1:8" ht="12.75" x14ac:dyDescent="0.2">
      <c r="A183" s="4">
        <v>655427564</v>
      </c>
      <c r="B183" s="4" t="s">
        <v>213</v>
      </c>
      <c r="C183" s="5" t="str">
        <f ca="1">IFERROR(__xludf.DUMMYFUNCTION("VLOOKUP(A183,IMPORTRANGE(""https://docs.google.com/spreadsheets/d/1YTzKr_K5JRaPNV_4z6w8eq_6U9Z-8UIZfBG8lUnhgpg/edit?usp=sharing"",""Agencies With Number of Deals A!A:K""),10,0)"),"122235821")</f>
        <v>122235821</v>
      </c>
      <c r="D183" s="5" t="str">
        <f ca="1">IFERROR(__xludf.DUMMYFUNCTION("VLOOKUP(A183,IMPORTRANGE(""https://docs.google.com/spreadsheets/d/1YTzKr_K5JRaPNV_4z6w8eq_6U9Z-8UIZfBG8lUnhgpg/edit?usp=sharing"",""Agencies With Number of Deals A!A:K""),9,0)"),"157508083480")</f>
        <v>157508083480</v>
      </c>
      <c r="E183" s="4" t="s">
        <v>9</v>
      </c>
      <c r="F183" s="6">
        <v>46037</v>
      </c>
      <c r="G183" s="4" t="s">
        <v>10</v>
      </c>
      <c r="H183" s="7">
        <v>21.98</v>
      </c>
    </row>
    <row r="184" spans="1:8" ht="12.75" x14ac:dyDescent="0.2">
      <c r="A184" s="4">
        <v>6677614475</v>
      </c>
      <c r="B184" s="4" t="s">
        <v>214</v>
      </c>
      <c r="C184" s="4" t="s">
        <v>215</v>
      </c>
      <c r="D184" s="4" t="s">
        <v>216</v>
      </c>
      <c r="E184" s="4" t="s">
        <v>9</v>
      </c>
      <c r="F184" s="6">
        <v>46037</v>
      </c>
      <c r="G184" s="4" t="s">
        <v>10</v>
      </c>
      <c r="H184" s="7">
        <v>1091.46</v>
      </c>
    </row>
    <row r="185" spans="1:8" ht="12.75" x14ac:dyDescent="0.2">
      <c r="A185" s="4">
        <v>16579499410</v>
      </c>
      <c r="B185" s="4" t="s">
        <v>217</v>
      </c>
      <c r="C185" s="5" t="str">
        <f ca="1">IFERROR(__xludf.DUMMYFUNCTION("VLOOKUP(A185,IMPORTRANGE(""https://docs.google.com/spreadsheets/d/1YTzKr_K5JRaPNV_4z6w8eq_6U9Z-8UIZfBG8lUnhgpg/edit?usp=sharing"",""Agencies With Number of Deals A!A:K""),10,0)"),"324377516")</f>
        <v>324377516</v>
      </c>
      <c r="D185" s="5" t="str">
        <f ca="1">IFERROR(__xludf.DUMMYFUNCTION("VLOOKUP(A185,IMPORTRANGE(""https://docs.google.com/spreadsheets/d/1YTzKr_K5JRaPNV_4z6w8eq_6U9Z-8UIZfBG8lUnhgpg/edit?usp=sharing"",""Agencies With Number of Deals A!A:K""),9,0)"),"7107170")</f>
        <v>7107170</v>
      </c>
      <c r="E185" s="4" t="s">
        <v>9</v>
      </c>
      <c r="F185" s="6">
        <v>46037</v>
      </c>
      <c r="G185" s="4" t="s">
        <v>10</v>
      </c>
      <c r="H185" s="7">
        <v>342.02</v>
      </c>
    </row>
    <row r="186" spans="1:8" ht="12.75" x14ac:dyDescent="0.2">
      <c r="A186" s="4">
        <v>7147232845</v>
      </c>
      <c r="B186" s="4" t="s">
        <v>218</v>
      </c>
      <c r="C186" s="5" t="str">
        <f ca="1">IFERROR(__xludf.DUMMYFUNCTION("VLOOKUP(A186,IMPORTRANGE(""https://docs.google.com/spreadsheets/d/1YTzKr_K5JRaPNV_4z6w8eq_6U9Z-8UIZfBG8lUnhgpg/edit?usp=sharing"",""Agencies With Number of Deals A!A:K""),10,0)"),"124001545")</f>
        <v>124001545</v>
      </c>
      <c r="D186" s="5" t="str">
        <f ca="1">IFERROR(__xludf.DUMMYFUNCTION("VLOOKUP(A186,IMPORTRANGE(""https://docs.google.com/spreadsheets/d/1YTzKr_K5JRaPNV_4z6w8eq_6U9Z-8UIZfBG8lUnhgpg/edit?usp=sharing"",""Agencies With Number of Deals A!A:K""),9,0)"),"790927161")</f>
        <v>790927161</v>
      </c>
      <c r="E186" s="4" t="s">
        <v>9</v>
      </c>
      <c r="F186" s="6">
        <v>46037</v>
      </c>
      <c r="G186" s="4" t="s">
        <v>10</v>
      </c>
      <c r="H186" s="7">
        <v>126.08</v>
      </c>
    </row>
    <row r="187" spans="1:8" ht="12.75" x14ac:dyDescent="0.2">
      <c r="A187" s="4">
        <v>16097329007</v>
      </c>
      <c r="B187" s="4" t="s">
        <v>219</v>
      </c>
      <c r="C187" s="5" t="str">
        <f ca="1">IFERROR(__xludf.DUMMYFUNCTION("VLOOKUP(A187,IMPORTRANGE(""https://docs.google.com/spreadsheets/d/1YTzKr_K5JRaPNV_4z6w8eq_6U9Z-8UIZfBG8lUnhgpg/edit?usp=sharing"",""Agencies With Number of Deals A!A:K""),10,0)"),"044103086")</f>
        <v>044103086</v>
      </c>
      <c r="D187" s="5" t="str">
        <f ca="1">IFERROR(__xludf.DUMMYFUNCTION("VLOOKUP(A187,IMPORTRANGE(""https://docs.google.com/spreadsheets/d/1YTzKr_K5JRaPNV_4z6w8eq_6U9Z-8UIZfBG8lUnhgpg/edit?usp=sharing"",""Agencies With Number of Deals A!A:K""),9,0)"),"2140042572")</f>
        <v>2140042572</v>
      </c>
      <c r="E187" s="4" t="s">
        <v>9</v>
      </c>
      <c r="F187" s="6">
        <v>46037</v>
      </c>
      <c r="G187" s="4" t="s">
        <v>10</v>
      </c>
      <c r="H187" s="7">
        <v>535.02</v>
      </c>
    </row>
    <row r="188" spans="1:8" ht="12.75" x14ac:dyDescent="0.2">
      <c r="A188" s="4">
        <v>15981636468</v>
      </c>
      <c r="B188" s="4" t="s">
        <v>220</v>
      </c>
      <c r="C188" s="4" t="s">
        <v>221</v>
      </c>
      <c r="D188" s="4" t="s">
        <v>222</v>
      </c>
      <c r="E188" s="4" t="s">
        <v>9</v>
      </c>
      <c r="F188" s="6">
        <v>46037</v>
      </c>
      <c r="G188" s="4" t="s">
        <v>10</v>
      </c>
      <c r="H188" s="7">
        <v>3368.24</v>
      </c>
    </row>
    <row r="189" spans="1:8" ht="12.75" x14ac:dyDescent="0.2">
      <c r="A189" s="4">
        <v>15623201303</v>
      </c>
      <c r="B189" s="4" t="s">
        <v>223</v>
      </c>
      <c r="C189" s="5" t="str">
        <f ca="1">IFERROR(__xludf.DUMMYFUNCTION("VLOOKUP(A189,IMPORTRANGE(""https://docs.google.com/spreadsheets/d/1YTzKr_K5JRaPNV_4z6w8eq_6U9Z-8UIZfBG8lUnhgpg/edit?usp=sharing"",""Agencies With Number of Deals A!A:K""),10,0)"),"125108997")</f>
        <v>125108997</v>
      </c>
      <c r="D189" s="5" t="str">
        <f ca="1">IFERROR(__xludf.DUMMYFUNCTION("VLOOKUP(A189,IMPORTRANGE(""https://docs.google.com/spreadsheets/d/1YTzKr_K5JRaPNV_4z6w8eq_6U9Z-8UIZfBG8lUnhgpg/edit?usp=sharing"",""Agencies With Number of Deals A!A:K""),9,0)"),"223103002109")</f>
        <v>223103002109</v>
      </c>
      <c r="E189" s="4" t="s">
        <v>9</v>
      </c>
      <c r="F189" s="6">
        <v>46037</v>
      </c>
      <c r="G189" s="4" t="s">
        <v>10</v>
      </c>
      <c r="H189" s="7">
        <v>5229.92</v>
      </c>
    </row>
    <row r="190" spans="1:8" ht="12.75" x14ac:dyDescent="0.2">
      <c r="A190" s="4">
        <v>21823581543</v>
      </c>
      <c r="B190" s="4" t="s">
        <v>224</v>
      </c>
      <c r="C190" s="5" t="str">
        <f ca="1">IFERROR(__xludf.DUMMYFUNCTION("VLOOKUP(A190,IMPORTRANGE(""https://docs.google.com/spreadsheets/d/1YTzKr_K5JRaPNV_4z6w8eq_6U9Z-8UIZfBG8lUnhgpg/edit?usp=sharing"",""Agencies With Number of Deals A!A:K""),10,0)"),"111000025")</f>
        <v>111000025</v>
      </c>
      <c r="D190" s="5" t="str">
        <f ca="1">IFERROR(__xludf.DUMMYFUNCTION("VLOOKUP(A190,IMPORTRANGE(""https://docs.google.com/spreadsheets/d/1YTzKr_K5JRaPNV_4z6w8eq_6U9Z-8UIZfBG8lUnhgpg/edit?usp=sharing"",""Agencies With Number of Deals A!A:K""),9,0)"),"488011685625")</f>
        <v>488011685625</v>
      </c>
      <c r="E190" s="4" t="s">
        <v>9</v>
      </c>
      <c r="F190" s="6">
        <v>46037</v>
      </c>
      <c r="G190" s="4" t="s">
        <v>10</v>
      </c>
      <c r="H190" s="7">
        <v>372</v>
      </c>
    </row>
    <row r="191" spans="1:8" ht="12.75" x14ac:dyDescent="0.2">
      <c r="A191" s="4">
        <v>21423880632</v>
      </c>
      <c r="B191" s="4" t="s">
        <v>225</v>
      </c>
      <c r="C191" s="5" t="str">
        <f ca="1">IFERROR(__xludf.DUMMYFUNCTION("VLOOKUP(A191,IMPORTRANGE(""https://docs.google.com/spreadsheets/d/1YTzKr_K5JRaPNV_4z6w8eq_6U9Z-8UIZfBG8lUnhgpg/edit?usp=sharing"",""Agencies With Number of Deals A!A:K""),10,0)"),"12243402")</f>
        <v>12243402</v>
      </c>
      <c r="D191" s="5" t="str">
        <f ca="1">IFERROR(__xludf.DUMMYFUNCTION("VLOOKUP(A191,IMPORTRANGE(""https://docs.google.com/spreadsheets/d/1YTzKr_K5JRaPNV_4z6w8eq_6U9Z-8UIZfBG8lUnhgpg/edit?usp=sharing"",""Agencies With Number of Deals A!A:K""),9,0)"),"0502000422")</f>
        <v>0502000422</v>
      </c>
      <c r="E191" s="4" t="s">
        <v>9</v>
      </c>
      <c r="F191" s="6">
        <v>46037</v>
      </c>
      <c r="G191" s="4" t="s">
        <v>10</v>
      </c>
      <c r="H191" s="7">
        <v>174.78</v>
      </c>
    </row>
    <row r="192" spans="1:8" ht="12.75" x14ac:dyDescent="0.2">
      <c r="A192" s="4">
        <v>655582014</v>
      </c>
      <c r="B192" s="4" t="s">
        <v>226</v>
      </c>
      <c r="C192" s="5" t="str">
        <f ca="1">IFERROR(__xludf.DUMMYFUNCTION("VLOOKUP(A192,IMPORTRANGE(""https://docs.google.com/spreadsheets/d/1YTzKr_K5JRaPNV_4z6w8eq_6U9Z-8UIZfBG8lUnhgpg/edit?usp=sharing"",""Agencies With Number of Deals A!A:K""),10,0)"),"324377516")</f>
        <v>324377516</v>
      </c>
      <c r="D192" s="5" t="str">
        <f ca="1">IFERROR(__xludf.DUMMYFUNCTION("VLOOKUP(A192,IMPORTRANGE(""https://docs.google.com/spreadsheets/d/1YTzKr_K5JRaPNV_4z6w8eq_6U9Z-8UIZfBG8lUnhgpg/edit?usp=sharing"",""Agencies With Number of Deals A!A:K""),9,0)"),"7850936")</f>
        <v>7850936</v>
      </c>
      <c r="E192" s="4" t="s">
        <v>9</v>
      </c>
      <c r="F192" s="6">
        <v>46037</v>
      </c>
      <c r="G192" s="4" t="s">
        <v>10</v>
      </c>
      <c r="H192" s="7">
        <v>45.18</v>
      </c>
    </row>
    <row r="193" spans="1:8" ht="12.75" x14ac:dyDescent="0.2">
      <c r="A193" s="4">
        <v>16086014502</v>
      </c>
      <c r="B193" s="4" t="s">
        <v>227</v>
      </c>
      <c r="C193" s="5" t="str">
        <f ca="1">IFERROR(__xludf.DUMMYFUNCTION("VLOOKUP(A193,IMPORTRANGE(""https://docs.google.com/spreadsheets/d/1YTzKr_K5JRaPNV_4z6w8eq_6U9Z-8UIZfBG8lUnhgpg/edit?usp=sharing"",""Agencies With Number of Deals A!A:K""),10,0)"),"111000614")</f>
        <v>111000614</v>
      </c>
      <c r="D193" s="5" t="str">
        <f ca="1">IFERROR(__xludf.DUMMYFUNCTION("VLOOKUP(A193,IMPORTRANGE(""https://docs.google.com/spreadsheets/d/1YTzKr_K5JRaPNV_4z6w8eq_6U9Z-8UIZfBG8lUnhgpg/edit?usp=sharing"",""Agencies With Number of Deals A!A:K""),9,0)"),"919612296")</f>
        <v>919612296</v>
      </c>
      <c r="E193" s="4" t="s">
        <v>9</v>
      </c>
      <c r="F193" s="6">
        <v>46037</v>
      </c>
      <c r="G193" s="4" t="s">
        <v>10</v>
      </c>
      <c r="H193" s="7">
        <v>441.72</v>
      </c>
    </row>
    <row r="194" spans="1:8" ht="12.75" x14ac:dyDescent="0.2">
      <c r="A194" s="4">
        <v>17956520852</v>
      </c>
      <c r="B194" s="4" t="s">
        <v>228</v>
      </c>
      <c r="C194" s="5" t="str">
        <f ca="1">IFERROR(__xludf.DUMMYFUNCTION("VLOOKUP(A194,IMPORTRANGE(""https://docs.google.com/spreadsheets/d/1YTzKr_K5JRaPNV_4z6w8eq_6U9Z-8UIZfBG8lUnhgpg/edit?usp=sharing"",""Agencies With Number of Deals A!A:K""),10,0)"),"324377516")</f>
        <v>324377516</v>
      </c>
      <c r="D194" s="5" t="str">
        <f ca="1">IFERROR(__xludf.DUMMYFUNCTION("VLOOKUP(A194,IMPORTRANGE(""https://docs.google.com/spreadsheets/d/1YTzKr_K5JRaPNV_4z6w8eq_6U9Z-8UIZfBG8lUnhgpg/edit?usp=sharing"",""Agencies With Number of Deals A!A:K""),9,0)"),"746007585532")</f>
        <v>746007585532</v>
      </c>
      <c r="E194" s="4" t="s">
        <v>9</v>
      </c>
      <c r="F194" s="6">
        <v>46037</v>
      </c>
      <c r="G194" s="4" t="s">
        <v>10</v>
      </c>
      <c r="H194" s="7">
        <v>1011.78</v>
      </c>
    </row>
    <row r="195" spans="1:8" ht="12.75" x14ac:dyDescent="0.2">
      <c r="A195" s="4">
        <v>655431889</v>
      </c>
      <c r="B195" s="4" t="s">
        <v>229</v>
      </c>
      <c r="C195" s="5" t="str">
        <f ca="1">IFERROR(__xludf.DUMMYFUNCTION("VLOOKUP(A195,IMPORTRANGE(""https://docs.google.com/spreadsheets/d/1YTzKr_K5JRaPNV_4z6w8eq_6U9Z-8UIZfBG8lUnhgpg/edit?usp=sharing"",""Agencies With Number of Deals A!A:K""),10,0)"),"122105278")</f>
        <v>122105278</v>
      </c>
      <c r="D195" s="5" t="str">
        <f ca="1">IFERROR(__xludf.DUMMYFUNCTION("VLOOKUP(A195,IMPORTRANGE(""https://docs.google.com/spreadsheets/d/1YTzKr_K5JRaPNV_4z6w8eq_6U9Z-8UIZfBG8lUnhgpg/edit?usp=sharing"",""Agencies With Number of Deals A!A:K""),9,0)"),"1993071578")</f>
        <v>1993071578</v>
      </c>
      <c r="E195" s="4" t="s">
        <v>9</v>
      </c>
      <c r="F195" s="6">
        <v>46037</v>
      </c>
      <c r="G195" s="4" t="s">
        <v>10</v>
      </c>
      <c r="H195" s="7">
        <v>29.52</v>
      </c>
    </row>
    <row r="196" spans="1:8" ht="12.75" x14ac:dyDescent="0.2">
      <c r="A196" s="4">
        <v>17150755910</v>
      </c>
      <c r="B196" s="4" t="s">
        <v>230</v>
      </c>
      <c r="C196" s="5" t="str">
        <f ca="1">IFERROR(__xludf.DUMMYFUNCTION("VLOOKUP(A196,IMPORTRANGE(""https://docs.google.com/spreadsheets/d/1YTzKr_K5JRaPNV_4z6w8eq_6U9Z-8UIZfBG8lUnhgpg/edit?usp=sharing"",""Agencies With Number of Deals A!A:K""),10,0)"),"102000076")</f>
        <v>102000076</v>
      </c>
      <c r="D196" s="5" t="str">
        <f ca="1">IFERROR(__xludf.DUMMYFUNCTION("VLOOKUP(A196,IMPORTRANGE(""https://docs.google.com/spreadsheets/d/1YTzKr_K5JRaPNV_4z6w8eq_6U9Z-8UIZfBG8lUnhgpg/edit?usp=sharing"",""Agencies With Number of Deals A!A:K""),9,0)"),"6364432176")</f>
        <v>6364432176</v>
      </c>
      <c r="E196" s="4" t="s">
        <v>9</v>
      </c>
      <c r="F196" s="6">
        <v>46037</v>
      </c>
      <c r="G196" s="4" t="s">
        <v>10</v>
      </c>
      <c r="H196" s="7">
        <v>290.72000000000003</v>
      </c>
    </row>
    <row r="197" spans="1:8" ht="12.75" x14ac:dyDescent="0.2">
      <c r="A197" s="4">
        <v>71266757969</v>
      </c>
      <c r="B197" s="4" t="s">
        <v>231</v>
      </c>
      <c r="C197" s="4" t="s">
        <v>232</v>
      </c>
      <c r="D197" s="4" t="s">
        <v>233</v>
      </c>
      <c r="E197" s="4" t="s">
        <v>9</v>
      </c>
      <c r="F197" s="6">
        <v>46037</v>
      </c>
      <c r="G197" s="4" t="s">
        <v>10</v>
      </c>
      <c r="H197" s="7">
        <v>78.12</v>
      </c>
    </row>
    <row r="198" spans="1:8" ht="12.75" x14ac:dyDescent="0.2">
      <c r="A198" s="4">
        <v>655583566</v>
      </c>
      <c r="B198" s="4" t="s">
        <v>234</v>
      </c>
      <c r="C198" s="5" t="str">
        <f ca="1">IFERROR(__xludf.DUMMYFUNCTION("VLOOKUP(A198,IMPORTRANGE(""https://docs.google.com/spreadsheets/d/1YTzKr_K5JRaPNV_4z6w8eq_6U9Z-8UIZfBG8lUnhgpg/edit?usp=sharing"",""Agencies With Number of Deals A!A:K""),10,0)"),"124001545")</f>
        <v>124001545</v>
      </c>
      <c r="D198" s="5" t="str">
        <f ca="1">IFERROR(__xludf.DUMMYFUNCTION("VLOOKUP(A198,IMPORTRANGE(""https://docs.google.com/spreadsheets/d/1YTzKr_K5JRaPNV_4z6w8eq_6U9Z-8UIZfBG8lUnhgpg/edit?usp=sharing"",""Agencies With Number of Deals A!A:K""),9,0)"),"915261611")</f>
        <v>915261611</v>
      </c>
      <c r="E198" s="4" t="s">
        <v>9</v>
      </c>
      <c r="F198" s="6">
        <v>46037</v>
      </c>
      <c r="G198" s="4" t="s">
        <v>10</v>
      </c>
      <c r="H198" s="7">
        <v>117.04</v>
      </c>
    </row>
    <row r="199" spans="1:8" ht="12.75" x14ac:dyDescent="0.2">
      <c r="A199" s="4">
        <v>671149965</v>
      </c>
      <c r="B199" s="4" t="s">
        <v>235</v>
      </c>
      <c r="C199" s="5" t="str">
        <f ca="1">IFERROR(__xludf.DUMMYFUNCTION("VLOOKUP(A199,IMPORTRANGE(""https://docs.google.com/spreadsheets/d/1YTzKr_K5JRaPNV_4z6w8eq_6U9Z-8UIZfBG8lUnhgpg/edit?usp=sharing"",""Agencies With Number of Deals A!A:K""),10,0)"),"111300958")</f>
        <v>111300958</v>
      </c>
      <c r="D199" s="5" t="str">
        <f ca="1">IFERROR(__xludf.DUMMYFUNCTION("VLOOKUP(A199,IMPORTRANGE(""https://docs.google.com/spreadsheets/d/1YTzKr_K5JRaPNV_4z6w8eq_6U9Z-8UIZfBG8lUnhgpg/edit?usp=sharing"",""Agencies With Number of Deals A!A:K""),9,0)"),"7035683")</f>
        <v>7035683</v>
      </c>
      <c r="E199" s="4" t="s">
        <v>9</v>
      </c>
      <c r="F199" s="6">
        <v>46037</v>
      </c>
      <c r="G199" s="4" t="s">
        <v>10</v>
      </c>
      <c r="H199" s="7">
        <v>247.44</v>
      </c>
    </row>
    <row r="200" spans="1:8" ht="12.75" x14ac:dyDescent="0.2">
      <c r="A200" s="4">
        <v>16086044292</v>
      </c>
      <c r="B200" s="4" t="s">
        <v>236</v>
      </c>
      <c r="C200" s="5" t="str">
        <f ca="1">IFERROR(__xludf.DUMMYFUNCTION("VLOOKUP(A200,IMPORTRANGE(""https://docs.google.com/spreadsheets/d/1YTzKr_K5JRaPNV_4z6w8eq_6U9Z-8UIZfBG8lUnhgpg/edit?usp=sharing"",""Agencies With Number of Deals A!A:K""),10,0)"),"267084131")</f>
        <v>267084131</v>
      </c>
      <c r="D200" s="5" t="str">
        <f ca="1">IFERROR(__xludf.DUMMYFUNCTION("VLOOKUP(A200,IMPORTRANGE(""https://docs.google.com/spreadsheets/d/1YTzKr_K5JRaPNV_4z6w8eq_6U9Z-8UIZfBG8lUnhgpg/edit?usp=sharing"",""Agencies With Number of Deals A!A:K""),9,0)"),"938617781")</f>
        <v>938617781</v>
      </c>
      <c r="E200" s="4" t="s">
        <v>9</v>
      </c>
      <c r="F200" s="6">
        <v>46037</v>
      </c>
      <c r="G200" s="4" t="s">
        <v>10</v>
      </c>
      <c r="H200" s="7">
        <v>295.56</v>
      </c>
    </row>
    <row r="201" spans="1:8" ht="12.75" x14ac:dyDescent="0.2">
      <c r="A201" s="4">
        <v>20538788101</v>
      </c>
      <c r="B201" s="4" t="s">
        <v>237</v>
      </c>
      <c r="C201" s="5" t="str">
        <f ca="1">IFERROR(__xludf.DUMMYFUNCTION("VLOOKUP(A201,IMPORTRANGE(""https://docs.google.com/spreadsheets/d/1YTzKr_K5JRaPNV_4z6w8eq_6U9Z-8UIZfBG8lUnhgpg/edit?usp=sharing"",""Agencies With Number of Deals A!A:K""),10,0)"),"031202084")</f>
        <v>031202084</v>
      </c>
      <c r="D201" s="5" t="str">
        <f ca="1">IFERROR(__xludf.DUMMYFUNCTION("VLOOKUP(A201,IMPORTRANGE(""https://docs.google.com/spreadsheets/d/1YTzKr_K5JRaPNV_4z6w8eq_6U9Z-8UIZfBG8lUnhgpg/edit?usp=sharing"",""Agencies With Number of Deals A!A:K""),9,0)"),"383011412113")</f>
        <v>383011412113</v>
      </c>
      <c r="E201" s="4" t="s">
        <v>9</v>
      </c>
      <c r="F201" s="6">
        <v>46037</v>
      </c>
      <c r="G201" s="4" t="s">
        <v>10</v>
      </c>
      <c r="H201" s="7">
        <v>53.34</v>
      </c>
    </row>
    <row r="202" spans="1:8" ht="12.75" x14ac:dyDescent="0.2">
      <c r="A202" s="4">
        <v>1098819347</v>
      </c>
      <c r="B202" s="4" t="s">
        <v>238</v>
      </c>
      <c r="C202" s="5" t="str">
        <f ca="1">IFERROR(__xludf.DUMMYFUNCTION("VLOOKUP(A202,IMPORTRANGE(""https://docs.google.com/spreadsheets/d/1YTzKr_K5JRaPNV_4z6w8eq_6U9Z-8UIZfBG8lUnhgpg/edit?usp=sharing"",""Agencies With Number of Deals A!A:K""),10,0)"),"122100024")</f>
        <v>122100024</v>
      </c>
      <c r="D202" s="5" t="str">
        <f ca="1">IFERROR(__xludf.DUMMYFUNCTION("VLOOKUP(A202,IMPORTRANGE(""https://docs.google.com/spreadsheets/d/1YTzKr_K5JRaPNV_4z6w8eq_6U9Z-8UIZfBG8lUnhgpg/edit?usp=sharing"",""Agencies With Number of Deals A!A:K""),9,0)"),"860387836")</f>
        <v>860387836</v>
      </c>
      <c r="E202" s="4" t="s">
        <v>9</v>
      </c>
      <c r="F202" s="6">
        <v>46037</v>
      </c>
      <c r="G202" s="4" t="s">
        <v>10</v>
      </c>
      <c r="H202" s="7">
        <v>429.96</v>
      </c>
    </row>
    <row r="203" spans="1:8" ht="12.75" x14ac:dyDescent="0.2">
      <c r="A203" s="4">
        <v>671150264</v>
      </c>
      <c r="B203" s="4" t="s">
        <v>239</v>
      </c>
      <c r="C203" s="5" t="str">
        <f ca="1">IFERROR(__xludf.DUMMYFUNCTION("VLOOKUP(A203,IMPORTRANGE(""https://docs.google.com/spreadsheets/d/1YTzKr_K5JRaPNV_4z6w8eq_6U9Z-8UIZfBG8lUnhgpg/edit?usp=sharing"",""Agencies With Number of Deals A!A:K""),10,0)"),"073000642")</f>
        <v>073000642</v>
      </c>
      <c r="D203" s="5" t="str">
        <f ca="1">IFERROR(__xludf.DUMMYFUNCTION("VLOOKUP(A203,IMPORTRANGE(""https://docs.google.com/spreadsheets/d/1YTzKr_K5JRaPNV_4z6w8eq_6U9Z-8UIZfBG8lUnhgpg/edit?usp=sharing"",""Agencies With Number of Deals A!A:K""),9,0)"),"32204")</f>
        <v>32204</v>
      </c>
      <c r="E203" s="4" t="s">
        <v>9</v>
      </c>
      <c r="F203" s="6">
        <v>46037</v>
      </c>
      <c r="G203" s="4" t="s">
        <v>10</v>
      </c>
      <c r="H203" s="7">
        <v>811.14</v>
      </c>
    </row>
    <row r="204" spans="1:8" ht="12.75" x14ac:dyDescent="0.2">
      <c r="A204" s="4">
        <v>6734030702</v>
      </c>
      <c r="B204" s="4" t="s">
        <v>240</v>
      </c>
      <c r="C204" s="5" t="str">
        <f ca="1">IFERROR(__xludf.DUMMYFUNCTION("VLOOKUP(A204,IMPORTRANGE(""https://docs.google.com/spreadsheets/d/1YTzKr_K5JRaPNV_4z6w8eq_6U9Z-8UIZfBG8lUnhgpg/edit?usp=sharing"",""Agencies With Number of Deals A!A:K""),10,0)"),"103000703")</f>
        <v>103000703</v>
      </c>
      <c r="D204" s="5" t="str">
        <f ca="1">IFERROR(__xludf.DUMMYFUNCTION("VLOOKUP(A204,IMPORTRANGE(""https://docs.google.com/spreadsheets/d/1YTzKr_K5JRaPNV_4z6w8eq_6U9Z-8UIZfBG8lUnhgpg/edit?usp=sharing"",""Agencies With Number of Deals A!A:K""),9,0)"),"1006635")</f>
        <v>1006635</v>
      </c>
      <c r="E204" s="4" t="s">
        <v>9</v>
      </c>
      <c r="F204" s="6">
        <v>46037</v>
      </c>
      <c r="G204" s="4" t="s">
        <v>10</v>
      </c>
      <c r="H204" s="7">
        <v>37.68</v>
      </c>
    </row>
    <row r="205" spans="1:8" ht="12.75" x14ac:dyDescent="0.2">
      <c r="A205" s="4">
        <v>755196022</v>
      </c>
      <c r="B205" s="4" t="s">
        <v>241</v>
      </c>
      <c r="C205" s="4" t="s">
        <v>242</v>
      </c>
      <c r="D205" s="4" t="s">
        <v>243</v>
      </c>
      <c r="E205" s="4" t="s">
        <v>9</v>
      </c>
      <c r="F205" s="6">
        <v>46037</v>
      </c>
      <c r="G205" s="4" t="s">
        <v>10</v>
      </c>
      <c r="H205" s="7">
        <v>651.78</v>
      </c>
    </row>
    <row r="206" spans="1:8" ht="12.75" x14ac:dyDescent="0.2">
      <c r="A206" s="4">
        <v>5619333947</v>
      </c>
      <c r="B206" s="4" t="s">
        <v>244</v>
      </c>
      <c r="C206" s="5" t="str">
        <f ca="1">IFERROR(__xludf.DUMMYFUNCTION("VLOOKUP(A206,IMPORTRANGE(""https://docs.google.com/spreadsheets/d/1YTzKr_K5JRaPNV_4z6w8eq_6U9Z-8UIZfBG8lUnhgpg/edit?usp=sharing"",""Agencies With Number of Deals A!A:K""),10,0)"),"102000076")</f>
        <v>102000076</v>
      </c>
      <c r="D206" s="5" t="str">
        <f ca="1">IFERROR(__xludf.DUMMYFUNCTION("VLOOKUP(A206,IMPORTRANGE(""https://docs.google.com/spreadsheets/d/1YTzKr_K5JRaPNV_4z6w8eq_6U9Z-8UIZfBG8lUnhgpg/edit?usp=sharing"",""Agencies With Number of Deals A!A:K""),9,0)"),"5953763009")</f>
        <v>5953763009</v>
      </c>
      <c r="E206" s="4" t="s">
        <v>9</v>
      </c>
      <c r="F206" s="6">
        <v>46037</v>
      </c>
      <c r="G206" s="4" t="s">
        <v>10</v>
      </c>
      <c r="H206" s="7">
        <v>747.84</v>
      </c>
    </row>
    <row r="207" spans="1:8" ht="12.75" x14ac:dyDescent="0.2">
      <c r="A207" s="4">
        <v>670830573</v>
      </c>
      <c r="B207" s="4" t="s">
        <v>245</v>
      </c>
      <c r="C207" s="5" t="str">
        <f ca="1">IFERROR(__xludf.DUMMYFUNCTION("VLOOKUP(A207,IMPORTRANGE(""https://docs.google.com/spreadsheets/d/1YTzKr_K5JRaPNV_4z6w8eq_6U9Z-8UIZfBG8lUnhgpg/edit?usp=sharing"",""Agencies With Number of Deals A!A:K""),10,0)"),"111000012")</f>
        <v>111000012</v>
      </c>
      <c r="D207" s="5" t="str">
        <f ca="1">IFERROR(__xludf.DUMMYFUNCTION("VLOOKUP(A207,IMPORTRANGE(""https://docs.google.com/spreadsheets/d/1YTzKr_K5JRaPNV_4z6w8eq_6U9Z-8UIZfBG8lUnhgpg/edit?usp=sharing"",""Agencies With Number of Deals A!A:K""),9,0)"),"4451722548")</f>
        <v>4451722548</v>
      </c>
      <c r="E207" s="4" t="s">
        <v>9</v>
      </c>
      <c r="F207" s="6">
        <v>46037</v>
      </c>
      <c r="G207" s="4" t="s">
        <v>10</v>
      </c>
      <c r="H207" s="7">
        <v>409.38</v>
      </c>
    </row>
    <row r="208" spans="1:8" ht="12.75" x14ac:dyDescent="0.2">
      <c r="A208" s="4">
        <v>15981720840</v>
      </c>
      <c r="B208" s="4" t="s">
        <v>246</v>
      </c>
      <c r="C208" s="5" t="str">
        <f ca="1">IFERROR(__xludf.DUMMYFUNCTION("VLOOKUP(A208,IMPORTRANGE(""https://docs.google.com/spreadsheets/d/1YTzKr_K5JRaPNV_4z6w8eq_6U9Z-8UIZfBG8lUnhgpg/edit?usp=sharing"",""Agencies With Number of Deals A!A:K""),10,0)"),"322271627")</f>
        <v>322271627</v>
      </c>
      <c r="D208" s="5" t="str">
        <f ca="1">IFERROR(__xludf.DUMMYFUNCTION("VLOOKUP(A208,IMPORTRANGE(""https://docs.google.com/spreadsheets/d/1YTzKr_K5JRaPNV_4z6w8eq_6U9Z-8UIZfBG8lUnhgpg/edit?usp=sharing"",""Agencies With Number of Deals A!A:K""),9,0)"),"283078332")</f>
        <v>283078332</v>
      </c>
      <c r="E208" s="4" t="s">
        <v>9</v>
      </c>
      <c r="F208" s="6">
        <v>46037</v>
      </c>
      <c r="G208" s="4" t="s">
        <v>10</v>
      </c>
      <c r="H208" s="7">
        <v>3072.48</v>
      </c>
    </row>
    <row r="209" spans="1:8" ht="12.75" x14ac:dyDescent="0.2">
      <c r="A209" s="4">
        <v>670824719</v>
      </c>
      <c r="B209" s="4" t="s">
        <v>247</v>
      </c>
      <c r="C209" s="5" t="str">
        <f ca="1">IFERROR(__xludf.DUMMYFUNCTION("VLOOKUP(A209,IMPORTRANGE(""https://docs.google.com/spreadsheets/d/1YTzKr_K5JRaPNV_4z6w8eq_6U9Z-8UIZfBG8lUnhgpg/edit?usp=sharing"",""Agencies With Number of Deals A!A:K""),10,0)"),"122100024")</f>
        <v>122100024</v>
      </c>
      <c r="D209" s="5" t="str">
        <f ca="1">IFERROR(__xludf.DUMMYFUNCTION("VLOOKUP(A209,IMPORTRANGE(""https://docs.google.com/spreadsheets/d/1YTzKr_K5JRaPNV_4z6w8eq_6U9Z-8UIZfBG8lUnhgpg/edit?usp=sharing"",""Agencies With Number of Deals A!A:K""),9,0)"),"020130857")</f>
        <v>020130857</v>
      </c>
      <c r="E209" s="4" t="s">
        <v>9</v>
      </c>
      <c r="F209" s="6">
        <v>46037</v>
      </c>
      <c r="G209" s="4" t="s">
        <v>10</v>
      </c>
      <c r="H209" s="7">
        <v>138.744</v>
      </c>
    </row>
    <row r="210" spans="1:8" ht="12.75" x14ac:dyDescent="0.2">
      <c r="A210" s="4">
        <v>671155147</v>
      </c>
      <c r="B210" s="4" t="s">
        <v>248</v>
      </c>
      <c r="C210" s="5" t="str">
        <f ca="1">IFERROR(__xludf.DUMMYFUNCTION("VLOOKUP(A210,IMPORTRANGE(""https://docs.google.com/spreadsheets/d/1YTzKr_K5JRaPNV_4z6w8eq_6U9Z-8UIZfBG8lUnhgpg/edit?usp=sharing"",""Agencies With Number of Deals A!A:K""),10,0)"),"071122661")</f>
        <v>071122661</v>
      </c>
      <c r="D210" s="5" t="str">
        <f ca="1">IFERROR(__xludf.DUMMYFUNCTION("VLOOKUP(A210,IMPORTRANGE(""https://docs.google.com/spreadsheets/d/1YTzKr_K5JRaPNV_4z6w8eq_6U9Z-8UIZfBG8lUnhgpg/edit?usp=sharing"",""Agencies With Number of Deals A!A:K""),9,0)"),"0142781515")</f>
        <v>0142781515</v>
      </c>
      <c r="E210" s="4" t="s">
        <v>9</v>
      </c>
      <c r="F210" s="6">
        <v>46037</v>
      </c>
      <c r="G210" s="4" t="s">
        <v>10</v>
      </c>
      <c r="H210" s="7">
        <v>402.48</v>
      </c>
    </row>
    <row r="211" spans="1:8" ht="12.75" x14ac:dyDescent="0.2">
      <c r="A211" s="4">
        <v>17572552808</v>
      </c>
      <c r="B211" s="4" t="s">
        <v>249</v>
      </c>
      <c r="C211" s="5" t="str">
        <f ca="1">IFERROR(__xludf.DUMMYFUNCTION("VLOOKUP(A211,IMPORTRANGE(""https://docs.google.com/spreadsheets/d/1YTzKr_K5JRaPNV_4z6w8eq_6U9Z-8UIZfBG8lUnhgpg/edit?usp=sharing"",""Agencies With Number of Deals A!A:K""),10,0)"),"051403164")</f>
        <v>051403164</v>
      </c>
      <c r="D211" s="5" t="str">
        <f ca="1">IFERROR(__xludf.DUMMYFUNCTION("VLOOKUP(A211,IMPORTRANGE(""https://docs.google.com/spreadsheets/d/1YTzKr_K5JRaPNV_4z6w8eq_6U9Z-8UIZfBG8lUnhgpg/edit?usp=sharing"",""Agencies With Number of Deals A!A:K""),9,0)"),"7300371120")</f>
        <v>7300371120</v>
      </c>
      <c r="E211" s="4" t="s">
        <v>9</v>
      </c>
      <c r="F211" s="6">
        <v>46037</v>
      </c>
      <c r="G211" s="4" t="s">
        <v>10</v>
      </c>
      <c r="H211" s="7">
        <v>707.94</v>
      </c>
    </row>
    <row r="212" spans="1:8" ht="12.75" x14ac:dyDescent="0.2">
      <c r="A212" s="4">
        <v>18031663005</v>
      </c>
      <c r="B212" s="4" t="s">
        <v>250</v>
      </c>
      <c r="C212" s="5" t="str">
        <f ca="1">IFERROR(__xludf.DUMMYFUNCTION("VLOOKUP(A212,IMPORTRANGE(""https://docs.google.com/spreadsheets/d/1YTzKr_K5JRaPNV_4z6w8eq_6U9Z-8UIZfBG8lUnhgpg/edit?usp=sharing"",""Agencies With Number of Deals A!A:K""),10,0)"),"067015779")</f>
        <v>067015779</v>
      </c>
      <c r="D212" s="5" t="str">
        <f ca="1">IFERROR(__xludf.DUMMYFUNCTION("VLOOKUP(A212,IMPORTRANGE(""https://docs.google.com/spreadsheets/d/1YTzKr_K5JRaPNV_4z6w8eq_6U9Z-8UIZfBG8lUnhgpg/edit?usp=sharing"",""Agencies With Number of Deals A!A:K""),9,0)"),"1500160021")</f>
        <v>1500160021</v>
      </c>
      <c r="E212" s="4" t="s">
        <v>9</v>
      </c>
      <c r="F212" s="6">
        <v>46037</v>
      </c>
      <c r="G212" s="4" t="s">
        <v>10</v>
      </c>
      <c r="H212" s="7">
        <v>420.76</v>
      </c>
    </row>
    <row r="213" spans="1:8" ht="12.75" x14ac:dyDescent="0.2">
      <c r="A213" s="4">
        <v>8185106975</v>
      </c>
      <c r="B213" s="4" t="s">
        <v>251</v>
      </c>
      <c r="C213" s="5" t="str">
        <f ca="1">IFERROR(__xludf.DUMMYFUNCTION("VLOOKUP(A213,IMPORTRANGE(""https://docs.google.com/spreadsheets/d/1YTzKr_K5JRaPNV_4z6w8eq_6U9Z-8UIZfBG8lUnhgpg/edit?usp=sharing"",""Agencies With Number of Deals A!A:K""),10,0)"),"072000326")</f>
        <v>072000326</v>
      </c>
      <c r="D213" s="5" t="str">
        <f ca="1">IFERROR(__xludf.DUMMYFUNCTION("VLOOKUP(A213,IMPORTRANGE(""https://docs.google.com/spreadsheets/d/1YTzKr_K5JRaPNV_4z6w8eq_6U9Z-8UIZfBG8lUnhgpg/edit?usp=sharing"",""Agencies With Number of Deals A!A:K""),9,0)"),"965796110")</f>
        <v>965796110</v>
      </c>
      <c r="E213" s="4" t="s">
        <v>9</v>
      </c>
      <c r="F213" s="6">
        <v>46037</v>
      </c>
      <c r="G213" s="4" t="s">
        <v>10</v>
      </c>
      <c r="H213" s="7">
        <v>1539.9</v>
      </c>
    </row>
    <row r="214" spans="1:8" ht="12.75" x14ac:dyDescent="0.2">
      <c r="A214" s="4">
        <v>15980024977</v>
      </c>
      <c r="B214" s="4" t="s">
        <v>252</v>
      </c>
      <c r="C214" s="5" t="str">
        <f ca="1">IFERROR(__xludf.DUMMYFUNCTION("VLOOKUP(A214,IMPORTRANGE(""https://docs.google.com/spreadsheets/d/1YTzKr_K5JRaPNV_4z6w8eq_6U9Z-8UIZfBG8lUnhgpg/edit?usp=sharing"",""Agencies With Number of Deals A!A:K""),10,0)"),"121000358")</f>
        <v>121000358</v>
      </c>
      <c r="D214" s="5" t="str">
        <f ca="1">IFERROR(__xludf.DUMMYFUNCTION("VLOOKUP(A214,IMPORTRANGE(""https://docs.google.com/spreadsheets/d/1YTzKr_K5JRaPNV_4z6w8eq_6U9Z-8UIZfBG8lUnhgpg/edit?usp=sharing"",""Agencies With Number of Deals A!A:K""),9,0)"),"1291782991")</f>
        <v>1291782991</v>
      </c>
      <c r="E214" s="4" t="s">
        <v>9</v>
      </c>
      <c r="F214" s="6">
        <v>46037</v>
      </c>
      <c r="G214" s="4" t="s">
        <v>10</v>
      </c>
      <c r="H214" s="7">
        <v>589.98</v>
      </c>
    </row>
    <row r="215" spans="1:8" ht="12.75" x14ac:dyDescent="0.2">
      <c r="A215" s="4">
        <v>8498446439</v>
      </c>
      <c r="B215" s="4" t="s">
        <v>253</v>
      </c>
      <c r="C215" s="5" t="str">
        <f ca="1">IFERROR(__xludf.DUMMYFUNCTION("VLOOKUP(A215,IMPORTRANGE(""https://docs.google.com/spreadsheets/d/1YTzKr_K5JRaPNV_4z6w8eq_6U9Z-8UIZfBG8lUnhgpg/edit?usp=sharing"",""Agencies With Number of Deals A!A:K""),10,0)"),"064008637")</f>
        <v>064008637</v>
      </c>
      <c r="D215" s="5" t="str">
        <f ca="1">IFERROR(__xludf.DUMMYFUNCTION("VLOOKUP(A215,IMPORTRANGE(""https://docs.google.com/spreadsheets/d/1YTzKr_K5JRaPNV_4z6w8eq_6U9Z-8UIZfBG8lUnhgpg/edit?usp=sharing"",""Agencies With Number of Deals A!A:K""),9,0)"),"800108284027")</f>
        <v>800108284027</v>
      </c>
      <c r="E215" s="4" t="s">
        <v>9</v>
      </c>
      <c r="F215" s="6">
        <v>46037</v>
      </c>
      <c r="G215" s="4" t="s">
        <v>10</v>
      </c>
      <c r="H215" s="7">
        <v>690.96</v>
      </c>
    </row>
    <row r="216" spans="1:8" ht="12.75" x14ac:dyDescent="0.2">
      <c r="A216" s="4">
        <v>18284193105</v>
      </c>
      <c r="B216" s="4" t="s">
        <v>254</v>
      </c>
      <c r="C216" s="5" t="str">
        <f ca="1">IFERROR(__xludf.DUMMYFUNCTION("VLOOKUP(A216,IMPORTRANGE(""https://docs.google.com/spreadsheets/d/1YTzKr_K5JRaPNV_4z6w8eq_6U9Z-8UIZfBG8lUnhgpg/edit?usp=sharing"",""Agencies With Number of Deals A!A:K""),10,0)"),"071000505")</f>
        <v>071000505</v>
      </c>
      <c r="D216" s="5" t="str">
        <f ca="1">IFERROR(__xludf.DUMMYFUNCTION("VLOOKUP(A216,IMPORTRANGE(""https://docs.google.com/spreadsheets/d/1YTzKr_K5JRaPNV_4z6w8eq_6U9Z-8UIZfBG8lUnhgpg/edit?usp=sharing"",""Agencies With Number of Deals A!A:K""),9,0)"),"005300720777")</f>
        <v>005300720777</v>
      </c>
      <c r="E216" s="4" t="s">
        <v>9</v>
      </c>
      <c r="F216" s="6">
        <v>46037</v>
      </c>
      <c r="G216" s="4" t="s">
        <v>10</v>
      </c>
      <c r="H216" s="7">
        <v>469.38</v>
      </c>
    </row>
    <row r="217" spans="1:8" ht="12.75" x14ac:dyDescent="0.2">
      <c r="A217" s="4">
        <v>15902623755</v>
      </c>
      <c r="B217" s="4" t="s">
        <v>255</v>
      </c>
      <c r="C217" s="5" t="str">
        <f ca="1">IFERROR(__xludf.DUMMYFUNCTION("VLOOKUP(A217,IMPORTRANGE(""https://docs.google.com/spreadsheets/d/1YTzKr_K5JRaPNV_4z6w8eq_6U9Z-8UIZfBG8lUnhgpg/edit?usp=sharing"",""Agencies With Number of Deals A!A:K""),10,0)"),"061113415")</f>
        <v>061113415</v>
      </c>
      <c r="D217" s="5" t="str">
        <f ca="1">IFERROR(__xludf.DUMMYFUNCTION("VLOOKUP(A217,IMPORTRANGE(""https://docs.google.com/spreadsheets/d/1YTzKr_K5JRaPNV_4z6w8eq_6U9Z-8UIZfBG8lUnhgpg/edit?usp=sharing"",""Agencies With Number of Deals A!A:K""),9,0)"),"1110027628579")</f>
        <v>1110027628579</v>
      </c>
      <c r="E217" s="4" t="s">
        <v>9</v>
      </c>
      <c r="F217" s="6">
        <v>46037</v>
      </c>
      <c r="G217" s="4" t="s">
        <v>10</v>
      </c>
      <c r="H217" s="7">
        <v>909.36</v>
      </c>
    </row>
    <row r="218" spans="1:8" ht="12.75" x14ac:dyDescent="0.2">
      <c r="A218" s="4">
        <v>16086030493</v>
      </c>
      <c r="B218" s="4" t="s">
        <v>256</v>
      </c>
      <c r="C218" s="5" t="str">
        <f ca="1">IFERROR(__xludf.DUMMYFUNCTION("VLOOKUP(A218,IMPORTRANGE(""https://docs.google.com/spreadsheets/d/1YTzKr_K5JRaPNV_4z6w8eq_6U9Z-8UIZfBG8lUnhgpg/edit?usp=sharing"",""Agencies With Number of Deals A!A:K""),10,0)"),"083000564")</f>
        <v>083000564</v>
      </c>
      <c r="D218" s="5" t="str">
        <f ca="1">IFERROR(__xludf.DUMMYFUNCTION("VLOOKUP(A218,IMPORTRANGE(""https://docs.google.com/spreadsheets/d/1YTzKr_K5JRaPNV_4z6w8eq_6U9Z-8UIZfBG8lUnhgpg/edit?usp=sharing"",""Agencies With Number of Deals A!A:K""),9,0)"),"420012346")</f>
        <v>420012346</v>
      </c>
      <c r="E218" s="4" t="s">
        <v>9</v>
      </c>
      <c r="F218" s="6">
        <v>46037</v>
      </c>
      <c r="G218" s="4" t="s">
        <v>10</v>
      </c>
      <c r="H218" s="7">
        <v>511.1</v>
      </c>
    </row>
    <row r="219" spans="1:8" ht="12.75" x14ac:dyDescent="0.2">
      <c r="A219" s="4">
        <v>16085967420</v>
      </c>
      <c r="B219" s="4" t="s">
        <v>257</v>
      </c>
      <c r="C219" s="5" t="str">
        <f ca="1">IFERROR(__xludf.DUMMYFUNCTION("VLOOKUP(A219,IMPORTRANGE(""https://docs.google.com/spreadsheets/d/1YTzKr_K5JRaPNV_4z6w8eq_6U9Z-8UIZfBG8lUnhgpg/edit?usp=sharing"",""Agencies With Number of Deals A!A:K""),10,0)"),"114000093")</f>
        <v>114000093</v>
      </c>
      <c r="D219" s="5" t="str">
        <f ca="1">IFERROR(__xludf.DUMMYFUNCTION("VLOOKUP(A219,IMPORTRANGE(""https://docs.google.com/spreadsheets/d/1YTzKr_K5JRaPNV_4z6w8eq_6U9Z-8UIZfBG8lUnhgpg/edit?usp=sharing"",""Agencies With Number of Deals A!A:K""),9,0)"),"105039231")</f>
        <v>105039231</v>
      </c>
      <c r="E219" s="4" t="s">
        <v>9</v>
      </c>
      <c r="F219" s="6">
        <v>46037</v>
      </c>
      <c r="G219" s="4" t="s">
        <v>10</v>
      </c>
      <c r="H219" s="7">
        <v>124.992</v>
      </c>
    </row>
    <row r="220" spans="1:8" ht="12.75" x14ac:dyDescent="0.2">
      <c r="A220" s="4">
        <v>16987181467</v>
      </c>
      <c r="B220" s="4" t="s">
        <v>258</v>
      </c>
      <c r="C220" s="5" t="str">
        <f ca="1">IFERROR(__xludf.DUMMYFUNCTION("VLOOKUP(A220,IMPORTRANGE(""https://docs.google.com/spreadsheets/d/1YTzKr_K5JRaPNV_4z6w8eq_6U9Z-8UIZfBG8lUnhgpg/edit?usp=sharing"",""Agencies With Number of Deals A!A:K""),10,0)"),"041215663")</f>
        <v>041215663</v>
      </c>
      <c r="D220" s="5" t="str">
        <f ca="1">IFERROR(__xludf.DUMMYFUNCTION("VLOOKUP(A220,IMPORTRANGE(""https://docs.google.com/spreadsheets/d/1YTzKr_K5JRaPNV_4z6w8eq_6U9Z-8UIZfBG8lUnhgpg/edit?usp=sharing"",""Agencies With Number of Deals A!A:K""),9,0)"),"1326596490047")</f>
        <v>1326596490047</v>
      </c>
      <c r="E220" s="4" t="s">
        <v>9</v>
      </c>
      <c r="F220" s="6">
        <v>46037</v>
      </c>
      <c r="G220" s="4" t="s">
        <v>10</v>
      </c>
      <c r="H220" s="7">
        <v>1369.66</v>
      </c>
    </row>
    <row r="221" spans="1:8" ht="12.75" x14ac:dyDescent="0.2">
      <c r="A221" s="4">
        <v>16085924405</v>
      </c>
      <c r="B221" s="4" t="s">
        <v>259</v>
      </c>
      <c r="C221" s="5" t="str">
        <f ca="1">IFERROR(__xludf.DUMMYFUNCTION("VLOOKUP(A221,IMPORTRANGE(""https://docs.google.com/spreadsheets/d/1YTzKr_K5JRaPNV_4z6w8eq_6U9Z-8UIZfBG8lUnhgpg/edit?usp=sharing"",""Agencies With Number of Deals A!A:K""),10,0)"),"042200910")</f>
        <v>042200910</v>
      </c>
      <c r="D221" s="5" t="str">
        <f ca="1">IFERROR(__xludf.DUMMYFUNCTION("VLOOKUP(A221,IMPORTRANGE(""https://docs.google.com/spreadsheets/d/1YTzKr_K5JRaPNV_4z6w8eq_6U9Z-8UIZfBG8lUnhgpg/edit?usp=sharing"",""Agencies With Number of Deals A!A:K""),9,0)"),"7793213")</f>
        <v>7793213</v>
      </c>
      <c r="E221" s="4" t="s">
        <v>9</v>
      </c>
      <c r="F221" s="6">
        <v>46037</v>
      </c>
      <c r="G221" s="4" t="s">
        <v>10</v>
      </c>
      <c r="H221" s="7">
        <v>451.8</v>
      </c>
    </row>
    <row r="222" spans="1:8" ht="12.75" x14ac:dyDescent="0.2">
      <c r="A222" s="4">
        <v>21493083191</v>
      </c>
      <c r="B222" s="4" t="s">
        <v>260</v>
      </c>
      <c r="C222" s="5" t="str">
        <f ca="1">IFERROR(__xludf.DUMMYFUNCTION("VLOOKUP(A222,IMPORTRANGE(""https://docs.google.com/spreadsheets/d/1YTzKr_K5JRaPNV_4z6w8eq_6U9Z-8UIZfBG8lUnhgpg/edit?usp=sharing"",""Agencies With Number of Deals A!A:K""),10,0)"),"121137726")</f>
        <v>121137726</v>
      </c>
      <c r="D222" s="5" t="str">
        <f ca="1">IFERROR(__xludf.DUMMYFUNCTION("VLOOKUP(A222,IMPORTRANGE(""https://docs.google.com/spreadsheets/d/1YTzKr_K5JRaPNV_4z6w8eq_6U9Z-8UIZfBG8lUnhgpg/edit?usp=sharing"",""Agencies With Number of Deals A!A:K""),9,0)"),"30023527")</f>
        <v>30023527</v>
      </c>
      <c r="E222" s="4" t="s">
        <v>9</v>
      </c>
      <c r="F222" s="6">
        <v>46037</v>
      </c>
      <c r="G222" s="4" t="s">
        <v>10</v>
      </c>
      <c r="H222" s="7">
        <v>339.06</v>
      </c>
    </row>
    <row r="223" spans="1:8" ht="12.75" x14ac:dyDescent="0.2">
      <c r="A223" s="4">
        <v>671150336</v>
      </c>
      <c r="B223" s="4" t="s">
        <v>261</v>
      </c>
      <c r="C223" s="5" t="str">
        <f ca="1">IFERROR(__xludf.DUMMYFUNCTION("VLOOKUP(A223,IMPORTRANGE(""https://docs.google.com/spreadsheets/d/1YTzKr_K5JRaPNV_4z6w8eq_6U9Z-8UIZfBG8lUnhgpg/edit?usp=sharing"",""Agencies With Number of Deals A!A:K""),10,0)"),"101015101")</f>
        <v>101015101</v>
      </c>
      <c r="D223" s="5" t="str">
        <f ca="1">IFERROR(__xludf.DUMMYFUNCTION("VLOOKUP(A223,IMPORTRANGE(""https://docs.google.com/spreadsheets/d/1YTzKr_K5JRaPNV_4z6w8eq_6U9Z-8UIZfBG8lUnhgpg/edit?usp=sharing"",""Agencies With Number of Deals A!A:K""),9,0)"),"8093758029")</f>
        <v>8093758029</v>
      </c>
      <c r="E223" s="4" t="s">
        <v>9</v>
      </c>
      <c r="F223" s="6">
        <v>46037</v>
      </c>
      <c r="G223" s="4" t="s">
        <v>10</v>
      </c>
      <c r="H223" s="7">
        <v>55.68</v>
      </c>
    </row>
    <row r="224" spans="1:8" ht="12.75" x14ac:dyDescent="0.2">
      <c r="A224" s="4">
        <v>38286017028</v>
      </c>
      <c r="B224" s="4" t="s">
        <v>262</v>
      </c>
      <c r="C224" s="5" t="str">
        <f ca="1">IFERROR(__xludf.DUMMYFUNCTION("VLOOKUP(A224,IMPORTRANGE(""https://docs.google.com/spreadsheets/d/1YTzKr_K5JRaPNV_4z6w8eq_6U9Z-8UIZfBG8lUnhgpg/edit?usp=sharing"",""Agencies With Number of Deals A!A:K""),10,0)"),"053112356")</f>
        <v>053112356</v>
      </c>
      <c r="D224" s="5" t="str">
        <f ca="1">IFERROR(__xludf.DUMMYFUNCTION("VLOOKUP(A224,IMPORTRANGE(""https://docs.google.com/spreadsheets/d/1YTzKr_K5JRaPNV_4z6w8eq_6U9Z-8UIZfBG8lUnhgpg/edit?usp=sharing"",""Agencies With Number of Deals A!A:K""),9,0)"),"72011828")</f>
        <v>72011828</v>
      </c>
      <c r="E224" s="4" t="s">
        <v>9</v>
      </c>
      <c r="F224" s="6">
        <v>46037</v>
      </c>
      <c r="G224" s="4" t="s">
        <v>10</v>
      </c>
      <c r="H224" s="7">
        <v>308.27999999999997</v>
      </c>
    </row>
    <row r="225" spans="1:8" ht="12.75" x14ac:dyDescent="0.2">
      <c r="A225" s="4">
        <v>18941600040</v>
      </c>
      <c r="B225" s="4" t="s">
        <v>263</v>
      </c>
      <c r="C225" s="4" t="s">
        <v>264</v>
      </c>
      <c r="D225" s="4" t="s">
        <v>265</v>
      </c>
      <c r="E225" s="4" t="s">
        <v>9</v>
      </c>
      <c r="F225" s="6">
        <v>46037</v>
      </c>
      <c r="G225" s="4" t="s">
        <v>10</v>
      </c>
      <c r="H225" s="7">
        <v>376.8</v>
      </c>
    </row>
    <row r="226" spans="1:8" ht="12.75" x14ac:dyDescent="0.2">
      <c r="A226" s="4">
        <v>846326459</v>
      </c>
      <c r="B226" s="4" t="s">
        <v>266</v>
      </c>
      <c r="C226" s="5" t="str">
        <f ca="1">IFERROR(__xludf.DUMMYFUNCTION("VLOOKUP(A226,IMPORTRANGE(""https://docs.google.com/spreadsheets/d/1YTzKr_K5JRaPNV_4z6w8eq_6U9Z-8UIZfBG8lUnhgpg/edit?usp=sharing"",""Agencies With Number of Deals A!A:K""),10,0)"),"071000039")</f>
        <v>071000039</v>
      </c>
      <c r="D226" s="5" t="str">
        <f ca="1">IFERROR(__xludf.DUMMYFUNCTION("VLOOKUP(A226,IMPORTRANGE(""https://docs.google.com/spreadsheets/d/1YTzKr_K5JRaPNV_4z6w8eq_6U9Z-8UIZfBG8lUnhgpg/edit?usp=sharing"",""Agencies With Number of Deals A!A:K""),9,0)"),"5800336470")</f>
        <v>5800336470</v>
      </c>
      <c r="E226" s="4" t="s">
        <v>9</v>
      </c>
      <c r="F226" s="6">
        <v>46037</v>
      </c>
      <c r="G226" s="4" t="s">
        <v>10</v>
      </c>
      <c r="H226" s="7">
        <v>9592.4</v>
      </c>
    </row>
    <row r="227" spans="1:8" ht="12.75" x14ac:dyDescent="0.2">
      <c r="A227" s="4">
        <v>17804073907</v>
      </c>
      <c r="B227" s="4" t="s">
        <v>267</v>
      </c>
      <c r="C227" s="5" t="str">
        <f ca="1">IFERROR(__xludf.DUMMYFUNCTION("VLOOKUP(A227,IMPORTRANGE(""https://docs.google.com/spreadsheets/d/1YTzKr_K5JRaPNV_4z6w8eq_6U9Z-8UIZfBG8lUnhgpg/edit?usp=sharing"",""Agencies With Number of Deals A!A:K""),10,0)"),"307070115")</f>
        <v>307070115</v>
      </c>
      <c r="D227" s="5" t="str">
        <f ca="1">IFERROR(__xludf.DUMMYFUNCTION("VLOOKUP(A227,IMPORTRANGE(""https://docs.google.com/spreadsheets/d/1YTzKr_K5JRaPNV_4z6w8eq_6U9Z-8UIZfBG8lUnhgpg/edit?usp=sharing"",""Agencies With Number of Deals A!A:K""),9,0)"),"147490604237")</f>
        <v>147490604237</v>
      </c>
      <c r="E227" s="4" t="s">
        <v>9</v>
      </c>
      <c r="F227" s="6">
        <v>46037</v>
      </c>
      <c r="G227" s="4" t="s">
        <v>10</v>
      </c>
      <c r="H227" s="7">
        <v>1401.42</v>
      </c>
    </row>
    <row r="228" spans="1:8" ht="12.75" x14ac:dyDescent="0.2">
      <c r="A228" s="4">
        <v>19100632347</v>
      </c>
      <c r="B228" s="4" t="s">
        <v>268</v>
      </c>
      <c r="C228" s="5" t="str">
        <f ca="1">IFERROR(__xludf.DUMMYFUNCTION("VLOOKUP(A228,IMPORTRANGE(""https://docs.google.com/spreadsheets/d/1YTzKr_K5JRaPNV_4z6w8eq_6U9Z-8UIZfBG8lUnhgpg/edit?usp=sharing"",""Agencies With Number of Deals A!A:K""),10,0)"),"125100089")</f>
        <v>125100089</v>
      </c>
      <c r="D228" s="5" t="str">
        <f ca="1">IFERROR(__xludf.DUMMYFUNCTION("VLOOKUP(A228,IMPORTRANGE(""https://docs.google.com/spreadsheets/d/1YTzKr_K5JRaPNV_4z6w8eq_6U9Z-8UIZfBG8lUnhgpg/edit?usp=sharing"",""Agencies With Number of Deals A!A:K""),9,0)"),"1009898792")</f>
        <v>1009898792</v>
      </c>
      <c r="E228" s="4" t="s">
        <v>9</v>
      </c>
      <c r="F228" s="6">
        <v>46037</v>
      </c>
      <c r="G228" s="4" t="s">
        <v>10</v>
      </c>
      <c r="H228" s="7">
        <v>221.52</v>
      </c>
    </row>
    <row r="229" spans="1:8" ht="12.75" x14ac:dyDescent="0.2">
      <c r="A229" s="4">
        <v>16086111337</v>
      </c>
      <c r="B229" s="4" t="s">
        <v>269</v>
      </c>
      <c r="C229" s="5" t="str">
        <f ca="1">IFERROR(__xludf.DUMMYFUNCTION("VLOOKUP(A229,IMPORTRANGE(""https://docs.google.com/spreadsheets/d/1YTzKr_K5JRaPNV_4z6w8eq_6U9Z-8UIZfBG8lUnhgpg/edit?usp=sharing"",""Agencies With Number of Deals A!A:K""),10,0)"),"311376533")</f>
        <v>311376533</v>
      </c>
      <c r="D229" s="5" t="str">
        <f ca="1">IFERROR(__xludf.DUMMYFUNCTION("VLOOKUP(A229,IMPORTRANGE(""https://docs.google.com/spreadsheets/d/1YTzKr_K5JRaPNV_4z6w8eq_6U9Z-8UIZfBG8lUnhgpg/edit?usp=sharing"",""Agencies With Number of Deals A!A:K""),9,0)"),"0113058002")</f>
        <v>0113058002</v>
      </c>
      <c r="E229" s="4" t="s">
        <v>9</v>
      </c>
      <c r="F229" s="6">
        <v>46037</v>
      </c>
      <c r="G229" s="4" t="s">
        <v>10</v>
      </c>
      <c r="H229" s="7">
        <v>183.78</v>
      </c>
    </row>
    <row r="230" spans="1:8" ht="12.75" x14ac:dyDescent="0.2">
      <c r="A230" s="4">
        <v>25816066115</v>
      </c>
      <c r="B230" s="4" t="s">
        <v>270</v>
      </c>
      <c r="C230" s="5" t="str">
        <f ca="1">IFERROR(__xludf.DUMMYFUNCTION("VLOOKUP(A230,IMPORTRANGE(""https://docs.google.com/spreadsheets/d/1YTzKr_K5JRaPNV_4z6w8eq_6U9Z-8UIZfBG8lUnhgpg/edit?usp=sharing"",""Agencies With Number of Deals A!A:K""),10,0)"),"324079555")</f>
        <v>324079555</v>
      </c>
      <c r="D230" s="5" t="str">
        <f ca="1">IFERROR(__xludf.DUMMYFUNCTION("VLOOKUP(A230,IMPORTRANGE(""https://docs.google.com/spreadsheets/d/1YTzKr_K5JRaPNV_4z6w8eq_6U9Z-8UIZfBG8lUnhgpg/edit?usp=sharing"",""Agencies With Number of Deals A!A:K""),9,0)"),"501011294657")</f>
        <v>501011294657</v>
      </c>
      <c r="E230" s="4" t="s">
        <v>9</v>
      </c>
      <c r="F230" s="6">
        <v>46037</v>
      </c>
      <c r="G230" s="4" t="s">
        <v>10</v>
      </c>
      <c r="H230" s="7">
        <v>273</v>
      </c>
    </row>
    <row r="231" spans="1:8" ht="12.75" x14ac:dyDescent="0.2">
      <c r="A231" s="4">
        <v>15981035051</v>
      </c>
      <c r="B231" s="4" t="s">
        <v>271</v>
      </c>
      <c r="C231" s="5" t="str">
        <f ca="1">IFERROR(__xludf.DUMMYFUNCTION("VLOOKUP(A231,IMPORTRANGE(""https://docs.google.com/spreadsheets/d/1YTzKr_K5JRaPNV_4z6w8eq_6U9Z-8UIZfBG8lUnhgpg/edit?usp=sharing"",""Agencies With Number of Deals A!A:K""),10,0)"),"081006162")</f>
        <v>081006162</v>
      </c>
      <c r="D231" s="5" t="str">
        <f ca="1">IFERROR(__xludf.DUMMYFUNCTION("VLOOKUP(A231,IMPORTRANGE(""https://docs.google.com/spreadsheets/d/1YTzKr_K5JRaPNV_4z6w8eq_6U9Z-8UIZfBG8lUnhgpg/edit?usp=sharing"",""Agencies With Number of Deals A!A:K""),9,0)"),"1490003208")</f>
        <v>1490003208</v>
      </c>
      <c r="E231" s="4" t="s">
        <v>9</v>
      </c>
      <c r="F231" s="6">
        <v>46037</v>
      </c>
      <c r="G231" s="4" t="s">
        <v>10</v>
      </c>
      <c r="H231" s="7">
        <v>327.67200000000003</v>
      </c>
    </row>
    <row r="232" spans="1:8" ht="12.75" x14ac:dyDescent="0.2">
      <c r="A232" s="4">
        <v>5161956619</v>
      </c>
      <c r="B232" s="4" t="s">
        <v>272</v>
      </c>
      <c r="C232" s="5" t="str">
        <f ca="1">IFERROR(__xludf.DUMMYFUNCTION("VLOOKUP(A232,IMPORTRANGE(""https://docs.google.com/spreadsheets/d/1YTzKr_K5JRaPNV_4z6w8eq_6U9Z-8UIZfBG8lUnhgpg/edit?usp=sharing"",""Agencies With Number of Deals A!A:K""),10,0)"),"052103065")</f>
        <v>052103065</v>
      </c>
      <c r="D232" s="5" t="str">
        <f ca="1">IFERROR(__xludf.DUMMYFUNCTION("VLOOKUP(A232,IMPORTRANGE(""https://docs.google.com/spreadsheets/d/1YTzKr_K5JRaPNV_4z6w8eq_6U9Z-8UIZfBG8lUnhgpg/edit?usp=sharing"",""Agencies With Number of Deals A!A:K""),9,0)"),"21801592")</f>
        <v>21801592</v>
      </c>
      <c r="E232" s="4" t="s">
        <v>9</v>
      </c>
      <c r="F232" s="6">
        <v>46037</v>
      </c>
      <c r="G232" s="4" t="s">
        <v>10</v>
      </c>
      <c r="H232" s="7">
        <v>233.7</v>
      </c>
    </row>
    <row r="233" spans="1:8" ht="12.75" x14ac:dyDescent="0.2">
      <c r="A233" s="4">
        <v>16086056863</v>
      </c>
      <c r="B233" s="4" t="s">
        <v>273</v>
      </c>
      <c r="C233" s="5" t="str">
        <f ca="1">IFERROR(__xludf.DUMMYFUNCTION("VLOOKUP(A233,IMPORTRANGE(""https://docs.google.com/spreadsheets/d/1YTzKr_K5JRaPNV_4z6w8eq_6U9Z-8UIZfBG8lUnhgpg/edit?usp=sharing"",""Agencies With Number of Deals A!A:K""),10,0)"),"062000080")</f>
        <v>062000080</v>
      </c>
      <c r="D233" s="5" t="str">
        <f ca="1">IFERROR(__xludf.DUMMYFUNCTION("VLOOKUP(A233,IMPORTRANGE(""https://docs.google.com/spreadsheets/d/1YTzKr_K5JRaPNV_4z6w8eq_6U9Z-8UIZfBG8lUnhgpg/edit?usp=sharing"",""Agencies With Number of Deals A!A:K""),9,0)"),"6649104350")</f>
        <v>6649104350</v>
      </c>
      <c r="E233" s="4" t="s">
        <v>9</v>
      </c>
      <c r="F233" s="6">
        <v>46037</v>
      </c>
      <c r="G233" s="4" t="s">
        <v>10</v>
      </c>
      <c r="H233" s="7">
        <v>533.20000000000005</v>
      </c>
    </row>
    <row r="234" spans="1:8" ht="12.75" x14ac:dyDescent="0.2">
      <c r="A234" s="4">
        <v>41914031448</v>
      </c>
      <c r="B234" s="4" t="s">
        <v>274</v>
      </c>
      <c r="C234" s="5" t="str">
        <f ca="1">IFERROR(__xludf.DUMMYFUNCTION("VLOOKUP(A234,IMPORTRANGE(""https://docs.google.com/spreadsheets/d/1YTzKr_K5JRaPNV_4z6w8eq_6U9Z-8UIZfBG8lUnhgpg/edit?usp=sharing"",""Agencies With Number of Deals A!A:K""),10,0)"),"101000019")</f>
        <v>101000019</v>
      </c>
      <c r="D234" s="5" t="str">
        <f ca="1">IFERROR(__xludf.DUMMYFUNCTION("VLOOKUP(A234,IMPORTRANGE(""https://docs.google.com/spreadsheets/d/1YTzKr_K5JRaPNV_4z6w8eq_6U9Z-8UIZfBG8lUnhgpg/edit?usp=sharing"",""Agencies With Number of Deals A!A:K""),9,0)"),"312114910")</f>
        <v>312114910</v>
      </c>
      <c r="E234" s="4" t="s">
        <v>9</v>
      </c>
      <c r="F234" s="6">
        <v>46037</v>
      </c>
      <c r="G234" s="4" t="s">
        <v>10</v>
      </c>
      <c r="H234" s="7">
        <v>243.36</v>
      </c>
    </row>
    <row r="235" spans="1:8" ht="12.75" x14ac:dyDescent="0.2">
      <c r="A235" s="4">
        <v>22035585442</v>
      </c>
      <c r="B235" s="4" t="s">
        <v>209</v>
      </c>
      <c r="C235" s="5" t="str">
        <f ca="1">IFERROR(__xludf.DUMMYFUNCTION("VLOOKUP(A235,IMPORTRANGE(""https://docs.google.com/spreadsheets/d/1YTzKr_K5JRaPNV_4z6w8eq_6U9Z-8UIZfBG8lUnhgpg/edit?usp=sharing"",""Agencies With Number of Deals A!A:K""),10,0)"),"111900659")</f>
        <v>111900659</v>
      </c>
      <c r="D235" s="5" t="str">
        <f ca="1">IFERROR(__xludf.DUMMYFUNCTION("VLOOKUP(A235,IMPORTRANGE(""https://docs.google.com/spreadsheets/d/1YTzKr_K5JRaPNV_4z6w8eq_6U9Z-8UIZfBG8lUnhgpg/edit?usp=sharing"",""Agencies With Number of Deals A!A:K""),9,0)"),"6906027586")</f>
        <v>6906027586</v>
      </c>
      <c r="E235" s="4" t="s">
        <v>9</v>
      </c>
      <c r="F235" s="6">
        <v>46037</v>
      </c>
      <c r="G235" s="4" t="s">
        <v>10</v>
      </c>
      <c r="H235" s="7">
        <v>37.32</v>
      </c>
    </row>
    <row r="236" spans="1:8" ht="12.75" x14ac:dyDescent="0.2">
      <c r="A236" s="4">
        <v>45819470860</v>
      </c>
      <c r="B236" s="4" t="s">
        <v>275</v>
      </c>
      <c r="C236" s="5" t="str">
        <f ca="1">IFERROR(__xludf.DUMMYFUNCTION("VLOOKUP(A236,IMPORTRANGE(""https://docs.google.com/spreadsheets/d/1YTzKr_K5JRaPNV_4z6w8eq_6U9Z-8UIZfBG8lUnhgpg/edit?usp=sharing"",""Agencies With Number of Deals A!A:K""),10,0)"),"122000661")</f>
        <v>122000661</v>
      </c>
      <c r="D236" s="5" t="str">
        <f ca="1">IFERROR(__xludf.DUMMYFUNCTION("VLOOKUP(A236,IMPORTRANGE(""https://docs.google.com/spreadsheets/d/1YTzKr_K5JRaPNV_4z6w8eq_6U9Z-8UIZfBG8lUnhgpg/edit?usp=sharing"",""Agencies With Number of Deals A!A:K""),9,0)"),"001496501064")</f>
        <v>001496501064</v>
      </c>
      <c r="E236" s="4" t="s">
        <v>9</v>
      </c>
      <c r="F236" s="6">
        <v>46037</v>
      </c>
      <c r="G236" s="4" t="s">
        <v>10</v>
      </c>
      <c r="H236" s="7">
        <v>1778.16</v>
      </c>
    </row>
    <row r="237" spans="1:8" ht="12.75" x14ac:dyDescent="0.2">
      <c r="A237" s="4">
        <v>43993893484</v>
      </c>
      <c r="B237" s="4" t="s">
        <v>276</v>
      </c>
      <c r="C237" s="5" t="str">
        <f ca="1">IFERROR(__xludf.DUMMYFUNCTION("VLOOKUP(A237,IMPORTRANGE(""https://docs.google.com/spreadsheets/d/1YTzKr_K5JRaPNV_4z6w8eq_6U9Z-8UIZfBG8lUnhgpg/edit?usp=sharing"",""Agencies With Number of Deals A!A:K""),10,0)"),"122100024")</f>
        <v>122100024</v>
      </c>
      <c r="D237" s="5" t="str">
        <f ca="1">IFERROR(__xludf.DUMMYFUNCTION("VLOOKUP(A237,IMPORTRANGE(""https://docs.google.com/spreadsheets/d/1YTzKr_K5JRaPNV_4z6w8eq_6U9Z-8UIZfBG8lUnhgpg/edit?usp=sharing"",""Agencies With Number of Deals A!A:K""),9,0)"),"837285167")</f>
        <v>837285167</v>
      </c>
      <c r="E237" s="4" t="s">
        <v>9</v>
      </c>
      <c r="F237" s="6">
        <v>46037</v>
      </c>
      <c r="G237" s="4" t="s">
        <v>10</v>
      </c>
      <c r="H237" s="7">
        <v>2771.52</v>
      </c>
    </row>
    <row r="238" spans="1:8" ht="12.75" x14ac:dyDescent="0.2">
      <c r="A238" s="4">
        <v>333169</v>
      </c>
      <c r="B238" s="4" t="s">
        <v>277</v>
      </c>
      <c r="C238" s="4" t="s">
        <v>278</v>
      </c>
      <c r="D238" s="4" t="s">
        <v>279</v>
      </c>
      <c r="E238" s="4" t="s">
        <v>9</v>
      </c>
      <c r="F238" s="6">
        <v>46037</v>
      </c>
      <c r="G238" s="4" t="s">
        <v>10</v>
      </c>
      <c r="H238" s="7">
        <v>137.28</v>
      </c>
    </row>
    <row r="239" spans="1:8" ht="12.75" x14ac:dyDescent="0.2">
      <c r="A239" s="4">
        <v>341669</v>
      </c>
      <c r="B239" s="8" t="s">
        <v>280</v>
      </c>
      <c r="C239" s="4" t="s">
        <v>12</v>
      </c>
      <c r="D239" s="4" t="s">
        <v>281</v>
      </c>
      <c r="E239" s="4" t="s">
        <v>9</v>
      </c>
      <c r="F239" s="6">
        <v>46037</v>
      </c>
      <c r="G239" s="4" t="s">
        <v>10</v>
      </c>
      <c r="H239" s="7">
        <v>76.5</v>
      </c>
    </row>
    <row r="240" spans="1:8" ht="12.75" x14ac:dyDescent="0.2">
      <c r="A240" s="4">
        <v>352864</v>
      </c>
      <c r="B240" s="4" t="s">
        <v>282</v>
      </c>
      <c r="C240" s="4" t="s">
        <v>283</v>
      </c>
      <c r="D240" s="4" t="s">
        <v>284</v>
      </c>
      <c r="E240" s="4" t="s">
        <v>9</v>
      </c>
      <c r="F240" s="6">
        <v>46037</v>
      </c>
      <c r="G240" s="4" t="s">
        <v>10</v>
      </c>
      <c r="H240" s="7">
        <v>592.12</v>
      </c>
    </row>
    <row r="241" spans="1:8" ht="12.75" x14ac:dyDescent="0.2">
      <c r="A241" s="4">
        <v>353084</v>
      </c>
      <c r="B241" s="4" t="s">
        <v>285</v>
      </c>
      <c r="C241" s="4" t="s">
        <v>286</v>
      </c>
      <c r="D241" s="4" t="s">
        <v>287</v>
      </c>
      <c r="E241" s="4" t="s">
        <v>9</v>
      </c>
      <c r="F241" s="6">
        <v>46037</v>
      </c>
      <c r="G241" s="4" t="s">
        <v>10</v>
      </c>
      <c r="H241" s="7">
        <v>125.2</v>
      </c>
    </row>
    <row r="242" spans="1:8" ht="12.75" x14ac:dyDescent="0.2">
      <c r="A242" s="4">
        <v>365004</v>
      </c>
      <c r="B242" s="4" t="s">
        <v>288</v>
      </c>
      <c r="C242" s="4" t="s">
        <v>289</v>
      </c>
      <c r="D242" s="4" t="s">
        <v>290</v>
      </c>
      <c r="E242" s="4" t="s">
        <v>9</v>
      </c>
      <c r="F242" s="6">
        <v>46037</v>
      </c>
      <c r="G242" s="4" t="s">
        <v>10</v>
      </c>
      <c r="H242" s="7">
        <v>186.6</v>
      </c>
    </row>
    <row r="243" spans="1:8" ht="12.75" x14ac:dyDescent="0.2">
      <c r="A243" s="4">
        <v>546483</v>
      </c>
      <c r="B243" s="4" t="s">
        <v>291</v>
      </c>
      <c r="C243" s="4" t="s">
        <v>292</v>
      </c>
      <c r="D243" s="4" t="s">
        <v>293</v>
      </c>
      <c r="E243" s="4" t="s">
        <v>9</v>
      </c>
      <c r="F243" s="6">
        <v>46037</v>
      </c>
      <c r="G243" s="4" t="s">
        <v>10</v>
      </c>
      <c r="H243" s="7">
        <v>8.94</v>
      </c>
    </row>
    <row r="244" spans="1:8" ht="12.75" x14ac:dyDescent="0.2">
      <c r="A244" s="4">
        <v>1094091203</v>
      </c>
      <c r="B244" s="4" t="s">
        <v>294</v>
      </c>
      <c r="C244" s="5" t="str">
        <f ca="1">IFERROR(__xludf.DUMMYFUNCTION("VLOOKUP(A244,IMPORTRANGE(""https://docs.google.com/spreadsheets/d/1YTzKr_K5JRaPNV_4z6w8eq_6U9Z-8UIZfBG8lUnhgpg/edit?usp=sharing"",""Agencies With Number of Deals A!A:K""),10,0)"),"053100300")</f>
        <v>053100300</v>
      </c>
      <c r="D244" s="5" t="str">
        <f ca="1">IFERROR(__xludf.DUMMYFUNCTION("VLOOKUP(A244,IMPORTRANGE(""https://docs.google.com/spreadsheets/d/1YTzKr_K5JRaPNV_4z6w8eq_6U9Z-8UIZfBG8lUnhgpg/edit?usp=sharing"",""Agencies With Number of Deals A!A:K""),9,0)"),"761336630")</f>
        <v>761336630</v>
      </c>
      <c r="E244" s="4" t="s">
        <v>9</v>
      </c>
      <c r="F244" s="6">
        <v>46037</v>
      </c>
      <c r="G244" s="4" t="s">
        <v>10</v>
      </c>
      <c r="H244" s="7">
        <v>150.19999999999999</v>
      </c>
    </row>
    <row r="245" spans="1:8" ht="12.75" x14ac:dyDescent="0.2">
      <c r="A245" s="4">
        <v>553141</v>
      </c>
      <c r="B245" s="4" t="s">
        <v>295</v>
      </c>
      <c r="C245" s="4" t="s">
        <v>296</v>
      </c>
      <c r="D245" s="4" t="s">
        <v>297</v>
      </c>
      <c r="E245" s="4" t="s">
        <v>9</v>
      </c>
      <c r="F245" s="6">
        <v>46037</v>
      </c>
      <c r="G245" s="4" t="s">
        <v>10</v>
      </c>
      <c r="H245" s="7">
        <v>4980</v>
      </c>
    </row>
    <row r="246" spans="1:8" ht="12.75" x14ac:dyDescent="0.2">
      <c r="A246" s="4">
        <v>600289</v>
      </c>
      <c r="B246" s="4" t="s">
        <v>298</v>
      </c>
      <c r="C246" s="4" t="s">
        <v>299</v>
      </c>
      <c r="D246" s="4" t="s">
        <v>300</v>
      </c>
      <c r="E246" s="4" t="s">
        <v>9</v>
      </c>
      <c r="F246" s="6">
        <v>46037</v>
      </c>
      <c r="G246" s="4" t="s">
        <v>10</v>
      </c>
      <c r="H246" s="7">
        <v>492.1</v>
      </c>
    </row>
    <row r="247" spans="1:8" ht="12.75" x14ac:dyDescent="0.2">
      <c r="A247" s="4">
        <v>604679</v>
      </c>
      <c r="B247" s="4" t="s">
        <v>301</v>
      </c>
      <c r="C247" s="4" t="s">
        <v>302</v>
      </c>
      <c r="D247" s="4" t="s">
        <v>303</v>
      </c>
      <c r="E247" s="4" t="s">
        <v>9</v>
      </c>
      <c r="F247" s="6">
        <v>46037</v>
      </c>
      <c r="G247" s="4" t="s">
        <v>10</v>
      </c>
      <c r="H247" s="7">
        <v>699.64</v>
      </c>
    </row>
    <row r="248" spans="1:8" ht="12.75" x14ac:dyDescent="0.2">
      <c r="A248" s="4">
        <v>608806</v>
      </c>
      <c r="B248" s="4" t="s">
        <v>304</v>
      </c>
      <c r="C248" s="4" t="s">
        <v>305</v>
      </c>
      <c r="D248" s="4" t="s">
        <v>306</v>
      </c>
      <c r="E248" s="4" t="s">
        <v>9</v>
      </c>
      <c r="F248" s="6">
        <v>46037</v>
      </c>
      <c r="G248" s="4" t="s">
        <v>10</v>
      </c>
      <c r="H248" s="7">
        <v>678.3</v>
      </c>
    </row>
    <row r="249" spans="1:8" ht="12.75" x14ac:dyDescent="0.2">
      <c r="A249" s="4">
        <v>612287</v>
      </c>
      <c r="B249" s="4" t="s">
        <v>307</v>
      </c>
      <c r="C249" s="4" t="s">
        <v>308</v>
      </c>
      <c r="D249" s="4" t="s">
        <v>309</v>
      </c>
      <c r="E249" s="4" t="s">
        <v>9</v>
      </c>
      <c r="F249" s="6">
        <v>46037</v>
      </c>
      <c r="G249" s="4" t="s">
        <v>10</v>
      </c>
      <c r="H249" s="7">
        <v>279.3</v>
      </c>
    </row>
    <row r="250" spans="1:8" ht="12.75" x14ac:dyDescent="0.2">
      <c r="A250" s="4">
        <v>614366</v>
      </c>
      <c r="B250" s="4" t="s">
        <v>310</v>
      </c>
      <c r="C250" s="4" t="s">
        <v>302</v>
      </c>
      <c r="D250" s="4" t="s">
        <v>311</v>
      </c>
      <c r="E250" s="4" t="s">
        <v>9</v>
      </c>
      <c r="F250" s="6">
        <v>46037</v>
      </c>
      <c r="G250" s="4" t="s">
        <v>10</v>
      </c>
      <c r="H250" s="7">
        <v>43.7</v>
      </c>
    </row>
    <row r="251" spans="1:8" ht="12.75" x14ac:dyDescent="0.2">
      <c r="A251" s="4">
        <v>614731</v>
      </c>
      <c r="B251" s="4" t="s">
        <v>312</v>
      </c>
      <c r="C251" s="4" t="s">
        <v>313</v>
      </c>
      <c r="D251" s="4" t="s">
        <v>314</v>
      </c>
      <c r="E251" s="4" t="s">
        <v>9</v>
      </c>
      <c r="F251" s="6">
        <v>46037</v>
      </c>
      <c r="G251" s="4" t="s">
        <v>10</v>
      </c>
      <c r="H251" s="7">
        <v>82.4</v>
      </c>
    </row>
    <row r="252" spans="1:8" ht="12.75" x14ac:dyDescent="0.2">
      <c r="A252" s="4">
        <v>615130</v>
      </c>
      <c r="B252" s="4" t="s">
        <v>315</v>
      </c>
      <c r="C252" s="4" t="s">
        <v>316</v>
      </c>
      <c r="D252" s="4" t="s">
        <v>317</v>
      </c>
      <c r="E252" s="4" t="s">
        <v>9</v>
      </c>
      <c r="F252" s="6">
        <v>46037</v>
      </c>
      <c r="G252" s="4" t="s">
        <v>10</v>
      </c>
      <c r="H252" s="7">
        <v>27.74</v>
      </c>
    </row>
    <row r="253" spans="1:8" ht="12.75" x14ac:dyDescent="0.2">
      <c r="A253" s="4">
        <v>6931405116</v>
      </c>
      <c r="B253" s="4" t="s">
        <v>318</v>
      </c>
      <c r="C253" s="5" t="str">
        <f ca="1">IFERROR(__xludf.DUMMYFUNCTION("VLOOKUP(A253,IMPORTRANGE(""https://docs.google.com/spreadsheets/d/1YTzKr_K5JRaPNV_4z6w8eq_6U9Z-8UIZfBG8lUnhgpg/edit?usp=sharing"",""Agencies With Number of Deals A!A:K""),10,0)"),"211173357")</f>
        <v>211173357</v>
      </c>
      <c r="D253" s="5" t="str">
        <f ca="1">IFERROR(__xludf.DUMMYFUNCTION("VLOOKUP(A253,IMPORTRANGE(""https://docs.google.com/spreadsheets/d/1YTzKr_K5JRaPNV_4z6w8eq_6U9Z-8UIZfBG8lUnhgpg/edit?usp=sharing"",""Agencies With Number of Deals A!A:K""),9,0)"),"1114150715")</f>
        <v>1114150715</v>
      </c>
      <c r="E253" s="4" t="s">
        <v>9</v>
      </c>
      <c r="F253" s="6">
        <v>46037</v>
      </c>
      <c r="G253" s="4" t="s">
        <v>10</v>
      </c>
      <c r="H253" s="7">
        <v>911.92</v>
      </c>
    </row>
    <row r="254" spans="1:8" ht="12.75" x14ac:dyDescent="0.2">
      <c r="A254" s="4">
        <v>618637</v>
      </c>
      <c r="B254" s="4" t="s">
        <v>319</v>
      </c>
      <c r="C254" s="4" t="s">
        <v>320</v>
      </c>
      <c r="D254" s="4" t="s">
        <v>321</v>
      </c>
      <c r="E254" s="4" t="s">
        <v>9</v>
      </c>
      <c r="F254" s="6">
        <v>46037</v>
      </c>
      <c r="G254" s="4" t="s">
        <v>10</v>
      </c>
      <c r="H254" s="7">
        <v>121.94</v>
      </c>
    </row>
    <row r="255" spans="1:8" ht="12.75" x14ac:dyDescent="0.2">
      <c r="A255" s="4">
        <v>618836</v>
      </c>
      <c r="B255" s="4" t="s">
        <v>322</v>
      </c>
      <c r="C255" s="4" t="s">
        <v>316</v>
      </c>
      <c r="D255" s="4" t="s">
        <v>323</v>
      </c>
      <c r="E255" s="4" t="s">
        <v>9</v>
      </c>
      <c r="F255" s="6">
        <v>46037</v>
      </c>
      <c r="G255" s="4" t="s">
        <v>10</v>
      </c>
      <c r="H255" s="7">
        <v>288.24</v>
      </c>
    </row>
    <row r="256" spans="1:8" ht="12.75" x14ac:dyDescent="0.2">
      <c r="A256" s="4">
        <v>619161</v>
      </c>
      <c r="B256" s="4" t="s">
        <v>324</v>
      </c>
      <c r="C256" s="4" t="s">
        <v>325</v>
      </c>
      <c r="D256" s="4" t="s">
        <v>326</v>
      </c>
      <c r="E256" s="4" t="s">
        <v>9</v>
      </c>
      <c r="F256" s="6">
        <v>46037</v>
      </c>
      <c r="G256" s="4" t="s">
        <v>10</v>
      </c>
      <c r="H256" s="7">
        <v>106.2</v>
      </c>
    </row>
    <row r="257" spans="1:8" ht="12.75" x14ac:dyDescent="0.2">
      <c r="A257" s="4">
        <v>622000</v>
      </c>
      <c r="B257" s="4" t="s">
        <v>327</v>
      </c>
      <c r="C257" s="4" t="s">
        <v>302</v>
      </c>
      <c r="D257" s="4" t="s">
        <v>328</v>
      </c>
      <c r="E257" s="4" t="s">
        <v>9</v>
      </c>
      <c r="F257" s="6">
        <v>46037</v>
      </c>
      <c r="G257" s="4" t="s">
        <v>10</v>
      </c>
      <c r="H257" s="7">
        <v>222.22</v>
      </c>
    </row>
    <row r="258" spans="1:8" ht="12.75" x14ac:dyDescent="0.2">
      <c r="A258" s="4">
        <v>622915</v>
      </c>
      <c r="B258" s="4" t="s">
        <v>329</v>
      </c>
      <c r="C258" s="4" t="s">
        <v>330</v>
      </c>
      <c r="D258" s="4" t="s">
        <v>331</v>
      </c>
      <c r="E258" s="4" t="s">
        <v>9</v>
      </c>
      <c r="F258" s="6">
        <v>46037</v>
      </c>
      <c r="G258" s="4" t="s">
        <v>10</v>
      </c>
      <c r="H258" s="7">
        <v>253.82</v>
      </c>
    </row>
    <row r="259" spans="1:8" ht="12.75" x14ac:dyDescent="0.2">
      <c r="A259" s="4">
        <v>16085945416</v>
      </c>
      <c r="B259" s="4" t="s">
        <v>332</v>
      </c>
      <c r="C259" s="5" t="str">
        <f ca="1">IFERROR(__xludf.DUMMYFUNCTION("VLOOKUP(A259,IMPORTRANGE(""https://docs.google.com/spreadsheets/d/1YTzKr_K5JRaPNV_4z6w8eq_6U9Z-8UIZfBG8lUnhgpg/edit?usp=sharing"",""Agencies With Number of Deals A!A:K""),10,0)"),"122100024")</f>
        <v>122100024</v>
      </c>
      <c r="D259" s="5" t="str">
        <f ca="1">IFERROR(__xludf.DUMMYFUNCTION("VLOOKUP(A259,IMPORTRANGE(""https://docs.google.com/spreadsheets/d/1YTzKr_K5JRaPNV_4z6w8eq_6U9Z-8UIZfBG8lUnhgpg/edit?usp=sharing"",""Agencies With Number of Deals A!A:K""),9,0)"),"730402146")</f>
        <v>730402146</v>
      </c>
      <c r="E259" s="4" t="s">
        <v>9</v>
      </c>
      <c r="F259" s="6">
        <v>46037</v>
      </c>
      <c r="G259" s="4" t="s">
        <v>10</v>
      </c>
      <c r="H259" s="7">
        <v>99.2</v>
      </c>
    </row>
    <row r="260" spans="1:8" ht="12.75" x14ac:dyDescent="0.2">
      <c r="A260" s="4">
        <v>623947</v>
      </c>
      <c r="B260" s="4" t="s">
        <v>333</v>
      </c>
      <c r="C260" s="4" t="s">
        <v>334</v>
      </c>
      <c r="D260" s="4" t="s">
        <v>335</v>
      </c>
      <c r="E260" s="4" t="s">
        <v>9</v>
      </c>
      <c r="F260" s="6">
        <v>46037</v>
      </c>
      <c r="G260" s="4" t="s">
        <v>10</v>
      </c>
      <c r="H260" s="7">
        <v>53.1</v>
      </c>
    </row>
    <row r="261" spans="1:8" ht="12.75" x14ac:dyDescent="0.2">
      <c r="A261" s="4">
        <v>624012</v>
      </c>
      <c r="B261" s="4" t="s">
        <v>336</v>
      </c>
      <c r="C261" s="4" t="s">
        <v>337</v>
      </c>
      <c r="D261" s="4" t="s">
        <v>338</v>
      </c>
      <c r="E261" s="4" t="s">
        <v>9</v>
      </c>
      <c r="F261" s="6">
        <v>46037</v>
      </c>
      <c r="G261" s="4" t="s">
        <v>10</v>
      </c>
      <c r="H261" s="7">
        <v>133.19999999999999</v>
      </c>
    </row>
    <row r="262" spans="1:8" ht="12.75" x14ac:dyDescent="0.2">
      <c r="A262" s="4">
        <v>625330</v>
      </c>
      <c r="B262" s="4" t="s">
        <v>339</v>
      </c>
      <c r="C262" s="4" t="s">
        <v>340</v>
      </c>
      <c r="D262" s="4" t="s">
        <v>341</v>
      </c>
      <c r="E262" s="4" t="s">
        <v>9</v>
      </c>
      <c r="F262" s="6">
        <v>46037</v>
      </c>
      <c r="G262" s="4" t="s">
        <v>10</v>
      </c>
      <c r="H262" s="7">
        <v>150.19999999999999</v>
      </c>
    </row>
    <row r="263" spans="1:8" ht="12.75" x14ac:dyDescent="0.2">
      <c r="A263" s="4">
        <v>626038</v>
      </c>
      <c r="B263" s="4" t="s">
        <v>342</v>
      </c>
      <c r="C263" s="4" t="s">
        <v>12</v>
      </c>
      <c r="D263" s="4" t="s">
        <v>343</v>
      </c>
      <c r="E263" s="4" t="s">
        <v>9</v>
      </c>
      <c r="F263" s="6">
        <v>46037</v>
      </c>
      <c r="G263" s="4" t="s">
        <v>10</v>
      </c>
      <c r="H263" s="7">
        <v>131.91999999999999</v>
      </c>
    </row>
    <row r="264" spans="1:8" ht="12.75" x14ac:dyDescent="0.2">
      <c r="A264" s="4">
        <v>626400</v>
      </c>
      <c r="B264" s="4" t="s">
        <v>344</v>
      </c>
      <c r="C264" s="4" t="s">
        <v>345</v>
      </c>
      <c r="D264" s="4" t="s">
        <v>346</v>
      </c>
      <c r="E264" s="4" t="s">
        <v>9</v>
      </c>
      <c r="F264" s="6">
        <v>46037</v>
      </c>
      <c r="G264" s="4" t="s">
        <v>10</v>
      </c>
      <c r="H264" s="7">
        <v>121.94</v>
      </c>
    </row>
    <row r="265" spans="1:8" ht="12.75" x14ac:dyDescent="0.2">
      <c r="A265" s="4">
        <v>627112</v>
      </c>
      <c r="B265" s="4" t="s">
        <v>347</v>
      </c>
      <c r="C265" s="4" t="s">
        <v>348</v>
      </c>
      <c r="D265" s="4" t="s">
        <v>349</v>
      </c>
      <c r="E265" s="4" t="s">
        <v>9</v>
      </c>
      <c r="F265" s="6">
        <v>46037</v>
      </c>
      <c r="G265" s="4" t="s">
        <v>10</v>
      </c>
      <c r="H265" s="7">
        <v>134.78</v>
      </c>
    </row>
    <row r="266" spans="1:8" ht="12.75" x14ac:dyDescent="0.2">
      <c r="A266" s="4">
        <v>627441</v>
      </c>
      <c r="B266" s="4" t="s">
        <v>350</v>
      </c>
      <c r="C266" s="4" t="s">
        <v>308</v>
      </c>
      <c r="D266" s="4" t="s">
        <v>351</v>
      </c>
      <c r="E266" s="4" t="s">
        <v>9</v>
      </c>
      <c r="F266" s="6">
        <v>46037</v>
      </c>
      <c r="G266" s="4" t="s">
        <v>10</v>
      </c>
      <c r="H266" s="7">
        <v>21.84</v>
      </c>
    </row>
    <row r="267" spans="1:8" ht="12.75" x14ac:dyDescent="0.2">
      <c r="A267" s="4">
        <v>7904448059</v>
      </c>
      <c r="B267" s="4" t="s">
        <v>352</v>
      </c>
      <c r="C267" s="5" t="str">
        <f ca="1">IFERROR(__xludf.DUMMYFUNCTION("VLOOKUP(A267,IMPORTRANGE(""https://docs.google.com/spreadsheets/d/1YTzKr_K5JRaPNV_4z6w8eq_6U9Z-8UIZfBG8lUnhgpg/edit?usp=sharing"",""Agencies With Number of Deals A!A:K""),10,0)"),"063100277")</f>
        <v>063100277</v>
      </c>
      <c r="D267" s="5" t="str">
        <f ca="1">IFERROR(__xludf.DUMMYFUNCTION("VLOOKUP(A267,IMPORTRANGE(""https://docs.google.com/spreadsheets/d/1YTzKr_K5JRaPNV_4z6w8eq_6U9Z-8UIZfBG8lUnhgpg/edit?usp=sharing"",""Agencies With Number of Deals A!A:K""),9,0)"),"229044591288")</f>
        <v>229044591288</v>
      </c>
      <c r="E267" s="4" t="s">
        <v>9</v>
      </c>
      <c r="F267" s="6">
        <v>46037</v>
      </c>
      <c r="G267" s="4" t="s">
        <v>10</v>
      </c>
      <c r="H267" s="7">
        <v>1628.12</v>
      </c>
    </row>
    <row r="268" spans="1:8" ht="12.75" x14ac:dyDescent="0.2">
      <c r="A268" s="4">
        <v>645419</v>
      </c>
      <c r="B268" s="4" t="s">
        <v>353</v>
      </c>
      <c r="C268" s="4" t="s">
        <v>354</v>
      </c>
      <c r="D268" s="4" t="s">
        <v>355</v>
      </c>
      <c r="E268" s="4" t="s">
        <v>9</v>
      </c>
      <c r="F268" s="6">
        <v>46037</v>
      </c>
      <c r="G268" s="4" t="s">
        <v>10</v>
      </c>
      <c r="H268" s="7">
        <v>318.68</v>
      </c>
    </row>
    <row r="269" spans="1:8" ht="12.75" x14ac:dyDescent="0.2">
      <c r="A269" s="4">
        <v>649912</v>
      </c>
      <c r="B269" s="4" t="s">
        <v>356</v>
      </c>
      <c r="C269" s="4" t="s">
        <v>357</v>
      </c>
      <c r="D269" s="4" t="s">
        <v>358</v>
      </c>
      <c r="E269" s="4" t="s">
        <v>9</v>
      </c>
      <c r="F269" s="6">
        <v>46037</v>
      </c>
      <c r="G269" s="4" t="s">
        <v>10</v>
      </c>
      <c r="H269" s="7">
        <v>160.63999999999999</v>
      </c>
    </row>
    <row r="270" spans="1:8" ht="12.75" x14ac:dyDescent="0.2">
      <c r="A270" s="4">
        <v>651581</v>
      </c>
      <c r="B270" s="4" t="s">
        <v>359</v>
      </c>
      <c r="C270" s="4" t="s">
        <v>360</v>
      </c>
      <c r="D270" s="4" t="s">
        <v>361</v>
      </c>
      <c r="E270" s="4" t="s">
        <v>9</v>
      </c>
      <c r="F270" s="6">
        <v>46037</v>
      </c>
      <c r="G270" s="4" t="s">
        <v>10</v>
      </c>
      <c r="H270" s="7">
        <v>150.19999999999999</v>
      </c>
    </row>
    <row r="271" spans="1:8" ht="12.75" x14ac:dyDescent="0.2">
      <c r="A271" s="4">
        <v>15765107864</v>
      </c>
      <c r="B271" s="4" t="s">
        <v>362</v>
      </c>
      <c r="C271" s="5" t="str">
        <f ca="1">IFERROR(__xludf.DUMMYFUNCTION("VLOOKUP(A271,IMPORTRANGE(""https://docs.google.com/spreadsheets/d/1YTzKr_K5JRaPNV_4z6w8eq_6U9Z-8UIZfBG8lUnhgpg/edit?usp=sharing"",""Agencies With Number of Deals A!A:K""),10,0)"),"021202337")</f>
        <v>021202337</v>
      </c>
      <c r="D271" s="5" t="str">
        <f ca="1">IFERROR(__xludf.DUMMYFUNCTION("VLOOKUP(A271,IMPORTRANGE(""https://docs.google.com/spreadsheets/d/1YTzKr_K5JRaPNV_4z6w8eq_6U9Z-8UIZfBG8lUnhgpg/edit?usp=sharing"",""Agencies With Number of Deals A!A:K""),9,0)"),"765043610")</f>
        <v>765043610</v>
      </c>
      <c r="E271" s="4" t="s">
        <v>9</v>
      </c>
      <c r="F271" s="6">
        <v>46037</v>
      </c>
      <c r="G271" s="4" t="s">
        <v>10</v>
      </c>
      <c r="H271" s="7">
        <v>83.16</v>
      </c>
    </row>
    <row r="272" spans="1:8" ht="12.75" x14ac:dyDescent="0.2">
      <c r="A272" s="4">
        <v>15983555166</v>
      </c>
      <c r="B272" s="4" t="s">
        <v>363</v>
      </c>
      <c r="C272" s="5" t="str">
        <f ca="1">IFERROR(__xludf.DUMMYFUNCTION("VLOOKUP(A272,IMPORTRANGE(""https://docs.google.com/spreadsheets/d/1YTzKr_K5JRaPNV_4z6w8eq_6U9Z-8UIZfBG8lUnhgpg/edit?usp=sharing"",""Agencies With Number of Deals A!A:K""),10,0)"),"065404560")</f>
        <v>065404560</v>
      </c>
      <c r="D272" s="5" t="str">
        <f ca="1">IFERROR(__xludf.DUMMYFUNCTION("VLOOKUP(A272,IMPORTRANGE(""https://docs.google.com/spreadsheets/d/1YTzKr_K5JRaPNV_4z6w8eq_6U9Z-8UIZfBG8lUnhgpg/edit?usp=sharing"",""Agencies With Number of Deals A!A:K""),9,0)"),"602490195")</f>
        <v>602490195</v>
      </c>
      <c r="E272" s="4" t="s">
        <v>9</v>
      </c>
      <c r="F272" s="6">
        <v>46037</v>
      </c>
      <c r="G272" s="4" t="s">
        <v>10</v>
      </c>
      <c r="H272" s="7">
        <v>425.1</v>
      </c>
    </row>
    <row r="273" spans="1:8" ht="12.75" x14ac:dyDescent="0.2">
      <c r="A273" s="4">
        <v>655181</v>
      </c>
      <c r="B273" s="4" t="s">
        <v>364</v>
      </c>
      <c r="C273" s="4" t="s">
        <v>365</v>
      </c>
      <c r="D273" s="4" t="s">
        <v>366</v>
      </c>
      <c r="E273" s="4" t="s">
        <v>9</v>
      </c>
      <c r="F273" s="6">
        <v>46037</v>
      </c>
      <c r="G273" s="4" t="s">
        <v>10</v>
      </c>
      <c r="H273" s="7">
        <v>53.1</v>
      </c>
    </row>
    <row r="274" spans="1:8" ht="12.75" x14ac:dyDescent="0.2">
      <c r="A274" s="4">
        <v>656136</v>
      </c>
      <c r="B274" s="4" t="s">
        <v>367</v>
      </c>
      <c r="C274" s="4" t="s">
        <v>368</v>
      </c>
      <c r="D274" s="4" t="s">
        <v>369</v>
      </c>
      <c r="E274" s="4" t="s">
        <v>9</v>
      </c>
      <c r="F274" s="6">
        <v>46037</v>
      </c>
      <c r="G274" s="4" t="s">
        <v>10</v>
      </c>
      <c r="H274" s="7">
        <v>25.14</v>
      </c>
    </row>
    <row r="275" spans="1:8" ht="12.75" x14ac:dyDescent="0.2">
      <c r="A275" s="4">
        <v>656734</v>
      </c>
      <c r="B275" s="4" t="s">
        <v>370</v>
      </c>
      <c r="C275" s="4" t="s">
        <v>371</v>
      </c>
      <c r="D275" s="4" t="s">
        <v>372</v>
      </c>
      <c r="E275" s="4" t="s">
        <v>9</v>
      </c>
      <c r="F275" s="6">
        <v>46037</v>
      </c>
      <c r="G275" s="4" t="s">
        <v>10</v>
      </c>
      <c r="H275" s="7">
        <v>53.1</v>
      </c>
    </row>
    <row r="276" spans="1:8" ht="12.75" x14ac:dyDescent="0.2">
      <c r="A276" s="4">
        <v>656736</v>
      </c>
      <c r="B276" s="4" t="s">
        <v>373</v>
      </c>
      <c r="C276" s="4" t="s">
        <v>374</v>
      </c>
      <c r="D276" s="4" t="s">
        <v>375</v>
      </c>
      <c r="E276" s="4" t="s">
        <v>9</v>
      </c>
      <c r="F276" s="6">
        <v>46037</v>
      </c>
      <c r="G276" s="4" t="s">
        <v>10</v>
      </c>
      <c r="H276" s="7">
        <v>113.8</v>
      </c>
    </row>
    <row r="277" spans="1:8" ht="12.75" x14ac:dyDescent="0.2">
      <c r="A277" s="4">
        <v>19037699743</v>
      </c>
      <c r="B277" s="4" t="s">
        <v>376</v>
      </c>
      <c r="C277" s="5" t="str">
        <f ca="1">IFERROR(__xludf.DUMMYFUNCTION("VLOOKUP(A277,IMPORTRANGE(""https://docs.google.com/spreadsheets/d/1YTzKr_K5JRaPNV_4z6w8eq_6U9Z-8UIZfBG8lUnhgpg/edit?usp=sharing"",""Agencies With Number of Deals A!A:K""),10,0)"),"122400724")</f>
        <v>122400724</v>
      </c>
      <c r="D277" s="5" t="str">
        <f ca="1">IFERROR(__xludf.DUMMYFUNCTION("VLOOKUP(A277,IMPORTRANGE(""https://docs.google.com/spreadsheets/d/1YTzKr_K5JRaPNV_4z6w8eq_6U9Z-8UIZfBG8lUnhgpg/edit?usp=sharing"",""Agencies With Number of Deals A!A:K""),9,0)"),"004961571975")</f>
        <v>004961571975</v>
      </c>
      <c r="E277" s="4" t="s">
        <v>9</v>
      </c>
      <c r="F277" s="6">
        <v>46037</v>
      </c>
      <c r="G277" s="4" t="s">
        <v>10</v>
      </c>
      <c r="H277" s="7">
        <v>598.74</v>
      </c>
    </row>
    <row r="278" spans="1:8" ht="12.75" x14ac:dyDescent="0.2">
      <c r="A278" s="4">
        <v>658672</v>
      </c>
      <c r="B278" s="4" t="s">
        <v>377</v>
      </c>
      <c r="C278" s="4" t="s">
        <v>378</v>
      </c>
      <c r="D278" s="4" t="s">
        <v>379</v>
      </c>
      <c r="E278" s="4" t="s">
        <v>9</v>
      </c>
      <c r="F278" s="6">
        <v>46037</v>
      </c>
      <c r="G278" s="4" t="s">
        <v>10</v>
      </c>
      <c r="H278" s="7">
        <v>149.63999999999999</v>
      </c>
    </row>
    <row r="279" spans="1:8" ht="12.75" x14ac:dyDescent="0.2">
      <c r="A279" s="4">
        <v>660474</v>
      </c>
      <c r="B279" s="4" t="s">
        <v>380</v>
      </c>
      <c r="C279" s="4" t="s">
        <v>177</v>
      </c>
      <c r="D279" s="4" t="s">
        <v>381</v>
      </c>
      <c r="E279" s="4" t="s">
        <v>9</v>
      </c>
      <c r="F279" s="6">
        <v>46037</v>
      </c>
      <c r="G279" s="4" t="s">
        <v>10</v>
      </c>
      <c r="H279" s="7">
        <v>138.46</v>
      </c>
    </row>
    <row r="280" spans="1:8" ht="12.75" x14ac:dyDescent="0.2">
      <c r="A280" s="4">
        <v>665840</v>
      </c>
      <c r="B280" s="4" t="s">
        <v>382</v>
      </c>
      <c r="C280" s="4" t="s">
        <v>383</v>
      </c>
      <c r="D280" s="4" t="s">
        <v>384</v>
      </c>
      <c r="E280" s="4" t="s">
        <v>9</v>
      </c>
      <c r="F280" s="6">
        <v>46037</v>
      </c>
      <c r="G280" s="4" t="s">
        <v>10</v>
      </c>
      <c r="H280" s="7">
        <v>166.96</v>
      </c>
    </row>
    <row r="281" spans="1:8" ht="12.75" x14ac:dyDescent="0.2">
      <c r="A281" s="4">
        <v>666192</v>
      </c>
      <c r="B281" s="4" t="s">
        <v>385</v>
      </c>
      <c r="C281" s="4" t="s">
        <v>386</v>
      </c>
      <c r="D281" s="4" t="s">
        <v>387</v>
      </c>
      <c r="E281" s="4" t="s">
        <v>9</v>
      </c>
      <c r="F281" s="6">
        <v>46037</v>
      </c>
      <c r="G281" s="4" t="s">
        <v>10</v>
      </c>
      <c r="H281" s="7">
        <v>116.04</v>
      </c>
    </row>
    <row r="282" spans="1:8" ht="12.75" x14ac:dyDescent="0.2">
      <c r="A282" s="4">
        <v>666522</v>
      </c>
      <c r="B282" s="4" t="s">
        <v>388</v>
      </c>
      <c r="C282" s="4" t="s">
        <v>389</v>
      </c>
      <c r="D282" s="4" t="s">
        <v>390</v>
      </c>
      <c r="E282" s="4" t="s">
        <v>9</v>
      </c>
      <c r="F282" s="6">
        <v>46037</v>
      </c>
      <c r="G282" s="4" t="s">
        <v>10</v>
      </c>
      <c r="H282" s="7">
        <v>140.68</v>
      </c>
    </row>
    <row r="283" spans="1:8" ht="12.75" x14ac:dyDescent="0.2">
      <c r="A283" s="4">
        <v>667199</v>
      </c>
      <c r="B283" s="4" t="s">
        <v>391</v>
      </c>
      <c r="C283" s="4" t="s">
        <v>392</v>
      </c>
      <c r="D283" s="4" t="s">
        <v>393</v>
      </c>
      <c r="E283" s="4" t="s">
        <v>9</v>
      </c>
      <c r="F283" s="6">
        <v>46037</v>
      </c>
      <c r="G283" s="4" t="s">
        <v>10</v>
      </c>
      <c r="H283" s="7">
        <v>234.84</v>
      </c>
    </row>
    <row r="284" spans="1:8" ht="12.75" x14ac:dyDescent="0.2">
      <c r="A284" s="4">
        <v>677245</v>
      </c>
      <c r="B284" s="4" t="s">
        <v>394</v>
      </c>
      <c r="C284" s="4" t="s">
        <v>395</v>
      </c>
      <c r="D284" s="4" t="s">
        <v>396</v>
      </c>
      <c r="E284" s="4" t="s">
        <v>9</v>
      </c>
      <c r="F284" s="6">
        <v>46037</v>
      </c>
      <c r="G284" s="4" t="s">
        <v>10</v>
      </c>
      <c r="H284" s="7">
        <v>386.58</v>
      </c>
    </row>
    <row r="285" spans="1:8" ht="12.75" x14ac:dyDescent="0.2">
      <c r="A285" s="4">
        <v>677597</v>
      </c>
      <c r="B285" s="4" t="s">
        <v>397</v>
      </c>
      <c r="C285" s="4" t="s">
        <v>398</v>
      </c>
      <c r="D285" s="4" t="s">
        <v>399</v>
      </c>
      <c r="E285" s="4" t="s">
        <v>9</v>
      </c>
      <c r="F285" s="6">
        <v>46037</v>
      </c>
      <c r="G285" s="4" t="s">
        <v>10</v>
      </c>
      <c r="H285" s="7">
        <v>331.9</v>
      </c>
    </row>
    <row r="286" spans="1:8" ht="12.75" x14ac:dyDescent="0.2">
      <c r="A286" s="4">
        <v>679745</v>
      </c>
      <c r="B286" s="4" t="s">
        <v>400</v>
      </c>
      <c r="C286" s="4" t="s">
        <v>401</v>
      </c>
      <c r="D286" s="4" t="s">
        <v>402</v>
      </c>
      <c r="E286" s="4" t="s">
        <v>9</v>
      </c>
      <c r="F286" s="6">
        <v>46037</v>
      </c>
      <c r="G286" s="4" t="s">
        <v>10</v>
      </c>
      <c r="H286" s="7">
        <v>1529.88</v>
      </c>
    </row>
    <row r="287" spans="1:8" ht="12.75" x14ac:dyDescent="0.2">
      <c r="A287" s="4">
        <v>688424</v>
      </c>
      <c r="B287" s="4" t="s">
        <v>403</v>
      </c>
      <c r="C287" s="4" t="s">
        <v>404</v>
      </c>
      <c r="D287" s="4" t="s">
        <v>405</v>
      </c>
      <c r="E287" s="4" t="s">
        <v>9</v>
      </c>
      <c r="F287" s="6">
        <v>46037</v>
      </c>
      <c r="G287" s="4" t="s">
        <v>10</v>
      </c>
      <c r="H287" s="7">
        <v>132.54</v>
      </c>
    </row>
    <row r="288" spans="1:8" ht="12.75" x14ac:dyDescent="0.2">
      <c r="A288" s="4">
        <v>691047</v>
      </c>
      <c r="B288" s="4" t="s">
        <v>406</v>
      </c>
      <c r="C288" s="4" t="s">
        <v>407</v>
      </c>
      <c r="D288" s="4" t="s">
        <v>408</v>
      </c>
      <c r="E288" s="4" t="s">
        <v>9</v>
      </c>
      <c r="F288" s="6">
        <v>46037</v>
      </c>
      <c r="G288" s="4" t="s">
        <v>10</v>
      </c>
      <c r="H288" s="7">
        <v>36.4</v>
      </c>
    </row>
    <row r="289" spans="1:8" ht="12.75" x14ac:dyDescent="0.2">
      <c r="A289" s="4">
        <v>712429</v>
      </c>
      <c r="B289" s="4" t="s">
        <v>409</v>
      </c>
      <c r="C289" s="4" t="s">
        <v>316</v>
      </c>
      <c r="D289" s="4" t="s">
        <v>410</v>
      </c>
      <c r="E289" s="4" t="s">
        <v>9</v>
      </c>
      <c r="F289" s="6">
        <v>46037</v>
      </c>
      <c r="G289" s="4" t="s">
        <v>10</v>
      </c>
      <c r="H289" s="7">
        <v>81.36</v>
      </c>
    </row>
    <row r="290" spans="1:8" ht="12.75" x14ac:dyDescent="0.2">
      <c r="A290" s="4">
        <v>715234</v>
      </c>
      <c r="B290" s="4" t="s">
        <v>411</v>
      </c>
      <c r="C290" s="4" t="s">
        <v>412</v>
      </c>
      <c r="D290" s="4" t="s">
        <v>413</v>
      </c>
      <c r="E290" s="4" t="s">
        <v>9</v>
      </c>
      <c r="F290" s="6">
        <v>46037</v>
      </c>
      <c r="G290" s="4" t="s">
        <v>10</v>
      </c>
      <c r="H290" s="7">
        <v>70.260000000000005</v>
      </c>
    </row>
    <row r="291" spans="1:8" ht="12.75" x14ac:dyDescent="0.2">
      <c r="A291" s="4">
        <v>721255</v>
      </c>
      <c r="B291" s="4" t="s">
        <v>414</v>
      </c>
      <c r="C291" s="4" t="s">
        <v>415</v>
      </c>
      <c r="D291" s="4" t="s">
        <v>416</v>
      </c>
      <c r="E291" s="4" t="s">
        <v>9</v>
      </c>
      <c r="F291" s="6">
        <v>46037</v>
      </c>
      <c r="G291" s="4" t="s">
        <v>10</v>
      </c>
      <c r="H291" s="7">
        <v>133.44</v>
      </c>
    </row>
    <row r="292" spans="1:8" ht="12.75" x14ac:dyDescent="0.2">
      <c r="A292" s="4">
        <v>17631511309</v>
      </c>
      <c r="B292" s="4" t="s">
        <v>417</v>
      </c>
      <c r="C292" s="5" t="str">
        <f ca="1">IFERROR(__xludf.DUMMYFUNCTION("VLOOKUP(A292,IMPORTRANGE(""https://docs.google.com/spreadsheets/d/1YTzKr_K5JRaPNV_4z6w8eq_6U9Z-8UIZfBG8lUnhgpg/edit?usp=sharing"",""Agencies With Number of Deals A!A:K""),10,0)"),"263191387")</f>
        <v>263191387</v>
      </c>
      <c r="D292" s="5" t="str">
        <f ca="1">IFERROR(__xludf.DUMMYFUNCTION("VLOOKUP(A292,IMPORTRANGE(""https://docs.google.com/spreadsheets/d/1YTzKr_K5JRaPNV_4z6w8eq_6U9Z-8UIZfBG8lUnhgpg/edit?usp=sharing"",""Agencies With Number of Deals A!A:K""),9,0)"),"1100041464125")</f>
        <v>1100041464125</v>
      </c>
      <c r="E292" s="4" t="s">
        <v>9</v>
      </c>
      <c r="F292" s="6">
        <v>46037</v>
      </c>
      <c r="G292" s="4" t="s">
        <v>10</v>
      </c>
      <c r="H292" s="7">
        <v>73.2</v>
      </c>
    </row>
    <row r="293" spans="1:8" ht="12.75" x14ac:dyDescent="0.2">
      <c r="A293" s="4">
        <v>729663</v>
      </c>
      <c r="B293" s="4" t="s">
        <v>418</v>
      </c>
      <c r="C293" s="4" t="s">
        <v>419</v>
      </c>
      <c r="D293" s="4" t="s">
        <v>420</v>
      </c>
      <c r="E293" s="4" t="s">
        <v>9</v>
      </c>
      <c r="F293" s="6">
        <v>46037</v>
      </c>
      <c r="G293" s="4" t="s">
        <v>10</v>
      </c>
      <c r="H293" s="7">
        <v>481.68</v>
      </c>
    </row>
    <row r="294" spans="1:8" ht="12.75" x14ac:dyDescent="0.2">
      <c r="A294" s="4">
        <v>730796</v>
      </c>
      <c r="B294" s="4" t="s">
        <v>421</v>
      </c>
      <c r="C294" s="4" t="s">
        <v>422</v>
      </c>
      <c r="D294" s="4" t="s">
        <v>423</v>
      </c>
      <c r="E294" s="4" t="s">
        <v>9</v>
      </c>
      <c r="F294" s="6">
        <v>46037</v>
      </c>
      <c r="G294" s="4" t="s">
        <v>10</v>
      </c>
      <c r="H294" s="7">
        <v>31.86</v>
      </c>
    </row>
    <row r="295" spans="1:8" ht="12.75" x14ac:dyDescent="0.2">
      <c r="A295" s="4">
        <v>733220</v>
      </c>
      <c r="B295" s="4" t="s">
        <v>424</v>
      </c>
      <c r="C295" s="4" t="s">
        <v>425</v>
      </c>
      <c r="D295" s="4" t="s">
        <v>426</v>
      </c>
      <c r="E295" s="4" t="s">
        <v>9</v>
      </c>
      <c r="F295" s="6">
        <v>46037</v>
      </c>
      <c r="G295" s="4" t="s">
        <v>10</v>
      </c>
      <c r="H295" s="7">
        <v>1127.22</v>
      </c>
    </row>
    <row r="296" spans="1:8" ht="12.75" x14ac:dyDescent="0.2">
      <c r="A296" s="4">
        <v>17302278784</v>
      </c>
      <c r="B296" s="4" t="s">
        <v>427</v>
      </c>
      <c r="C296" s="5" t="str">
        <f ca="1">IFERROR(__xludf.DUMMYFUNCTION("VLOOKUP(A296,IMPORTRANGE(""https://docs.google.com/spreadsheets/d/1YTzKr_K5JRaPNV_4z6w8eq_6U9Z-8UIZfBG8lUnhgpg/edit?usp=sharing"",""Agencies With Number of Deals A!A:K""),10,0)"),"091310521")</f>
        <v>091310521</v>
      </c>
      <c r="D296" s="5" t="str">
        <f ca="1">IFERROR(__xludf.DUMMYFUNCTION("VLOOKUP(A296,IMPORTRANGE(""https://docs.google.com/spreadsheets/d/1YTzKr_K5JRaPNV_4z6w8eq_6U9Z-8UIZfBG8lUnhgpg/edit?usp=sharing"",""Agencies With Number of Deals A!A:K""),9,0)"),"6521393832")</f>
        <v>6521393832</v>
      </c>
      <c r="E296" s="4" t="s">
        <v>9</v>
      </c>
      <c r="F296" s="6">
        <v>46037</v>
      </c>
      <c r="G296" s="4" t="s">
        <v>10</v>
      </c>
      <c r="H296" s="7">
        <v>97.08</v>
      </c>
    </row>
    <row r="297" spans="1:8" ht="12.75" x14ac:dyDescent="0.2">
      <c r="A297" s="4">
        <v>735514</v>
      </c>
      <c r="B297" s="4" t="s">
        <v>428</v>
      </c>
      <c r="C297" s="4" t="s">
        <v>429</v>
      </c>
      <c r="D297" s="4" t="s">
        <v>430</v>
      </c>
      <c r="E297" s="4" t="s">
        <v>9</v>
      </c>
      <c r="F297" s="6">
        <v>46037</v>
      </c>
      <c r="G297" s="4" t="s">
        <v>10</v>
      </c>
      <c r="H297" s="7">
        <v>41.94</v>
      </c>
    </row>
    <row r="298" spans="1:8" ht="12.75" x14ac:dyDescent="0.2">
      <c r="A298" s="4">
        <v>740775</v>
      </c>
      <c r="B298" s="4" t="s">
        <v>431</v>
      </c>
      <c r="C298" s="4" t="s">
        <v>432</v>
      </c>
      <c r="D298" s="4" t="s">
        <v>433</v>
      </c>
      <c r="E298" s="4" t="s">
        <v>9</v>
      </c>
      <c r="F298" s="6">
        <v>46037</v>
      </c>
      <c r="G298" s="4" t="s">
        <v>10</v>
      </c>
      <c r="H298" s="7">
        <v>32.520000000000003</v>
      </c>
    </row>
    <row r="299" spans="1:8" ht="12.75" x14ac:dyDescent="0.2">
      <c r="A299" s="4">
        <v>741326</v>
      </c>
      <c r="B299" s="4" t="s">
        <v>434</v>
      </c>
      <c r="C299" s="4" t="s">
        <v>435</v>
      </c>
      <c r="D299" s="4" t="s">
        <v>436</v>
      </c>
      <c r="E299" s="4" t="s">
        <v>9</v>
      </c>
      <c r="F299" s="6">
        <v>46037</v>
      </c>
      <c r="G299" s="4" t="s">
        <v>10</v>
      </c>
      <c r="H299" s="7">
        <v>150.30000000000001</v>
      </c>
    </row>
    <row r="300" spans="1:8" ht="12.75" x14ac:dyDescent="0.2">
      <c r="A300" s="4">
        <v>742718</v>
      </c>
      <c r="B300" s="4" t="s">
        <v>437</v>
      </c>
      <c r="C300" s="4" t="s">
        <v>438</v>
      </c>
      <c r="D300" s="4" t="s">
        <v>439</v>
      </c>
      <c r="E300" s="4" t="s">
        <v>9</v>
      </c>
      <c r="F300" s="6">
        <v>46037</v>
      </c>
      <c r="G300" s="4" t="s">
        <v>10</v>
      </c>
      <c r="H300" s="7">
        <v>25.14</v>
      </c>
    </row>
    <row r="301" spans="1:8" ht="12.75" x14ac:dyDescent="0.2">
      <c r="A301" s="4">
        <v>744326</v>
      </c>
      <c r="B301" s="4" t="s">
        <v>440</v>
      </c>
      <c r="C301" s="4" t="s">
        <v>441</v>
      </c>
      <c r="D301" s="4" t="s">
        <v>442</v>
      </c>
      <c r="E301" s="4" t="s">
        <v>9</v>
      </c>
      <c r="F301" s="6">
        <v>46037</v>
      </c>
      <c r="G301" s="4" t="s">
        <v>10</v>
      </c>
      <c r="H301" s="7">
        <v>142.5</v>
      </c>
    </row>
    <row r="302" spans="1:8" ht="12.75" x14ac:dyDescent="0.2">
      <c r="A302" s="4">
        <v>20354565957</v>
      </c>
      <c r="B302" s="4" t="s">
        <v>443</v>
      </c>
      <c r="C302" s="5" t="str">
        <f ca="1">IFERROR(__xludf.DUMMYFUNCTION("VLOOKUP(A302,IMPORTRANGE(""https://docs.google.com/spreadsheets/d/1YTzKr_K5JRaPNV_4z6w8eq_6U9Z-8UIZfBG8lUnhgpg/edit?usp=sharing"",""Agencies With Number of Deals A!A:K""),10,0)"),"086518477")</f>
        <v>086518477</v>
      </c>
      <c r="D302" s="5" t="str">
        <f ca="1">IFERROR(__xludf.DUMMYFUNCTION("VLOOKUP(A302,IMPORTRANGE(""https://docs.google.com/spreadsheets/d/1YTzKr_K5JRaPNV_4z6w8eq_6U9Z-8UIZfBG8lUnhgpg/edit?usp=sharing"",""Agencies With Number of Deals A!A:K""),9,0)"),"133085181")</f>
        <v>133085181</v>
      </c>
      <c r="E302" s="4" t="s">
        <v>9</v>
      </c>
      <c r="F302" s="6">
        <v>46037</v>
      </c>
      <c r="G302" s="4" t="s">
        <v>10</v>
      </c>
      <c r="H302" s="7">
        <v>51.3</v>
      </c>
    </row>
    <row r="303" spans="1:8" ht="12.75" x14ac:dyDescent="0.2">
      <c r="A303" s="4">
        <v>763575</v>
      </c>
      <c r="B303" s="4" t="s">
        <v>444</v>
      </c>
      <c r="C303" s="4" t="s">
        <v>445</v>
      </c>
      <c r="D303" s="4" t="s">
        <v>446</v>
      </c>
      <c r="E303" s="4" t="s">
        <v>9</v>
      </c>
      <c r="F303" s="6">
        <v>46037</v>
      </c>
      <c r="G303" s="4" t="s">
        <v>10</v>
      </c>
      <c r="H303" s="7">
        <v>105.72</v>
      </c>
    </row>
    <row r="304" spans="1:8" ht="12.75" x14ac:dyDescent="0.2">
      <c r="A304" s="4">
        <v>763662</v>
      </c>
      <c r="B304" s="4" t="s">
        <v>447</v>
      </c>
      <c r="C304" s="4" t="s">
        <v>99</v>
      </c>
      <c r="D304" s="4" t="s">
        <v>448</v>
      </c>
      <c r="E304" s="4" t="s">
        <v>9</v>
      </c>
      <c r="F304" s="6">
        <v>46037</v>
      </c>
      <c r="G304" s="4" t="s">
        <v>10</v>
      </c>
      <c r="H304" s="7">
        <v>25.14</v>
      </c>
    </row>
    <row r="305" spans="1:8" ht="12.75" x14ac:dyDescent="0.2">
      <c r="A305" s="4">
        <v>764784</v>
      </c>
      <c r="B305" s="4" t="s">
        <v>449</v>
      </c>
      <c r="C305" s="4" t="s">
        <v>450</v>
      </c>
      <c r="D305" s="4" t="s">
        <v>451</v>
      </c>
      <c r="E305" s="4" t="s">
        <v>9</v>
      </c>
      <c r="F305" s="6">
        <v>46037</v>
      </c>
      <c r="G305" s="4" t="s">
        <v>10</v>
      </c>
      <c r="H305" s="7">
        <v>342.96</v>
      </c>
    </row>
    <row r="306" spans="1:8" ht="12.75" x14ac:dyDescent="0.2">
      <c r="A306" s="4">
        <v>768714</v>
      </c>
      <c r="B306" s="4" t="s">
        <v>452</v>
      </c>
      <c r="C306" s="4" t="s">
        <v>316</v>
      </c>
      <c r="D306" s="4" t="s">
        <v>453</v>
      </c>
      <c r="E306" s="4" t="s">
        <v>9</v>
      </c>
      <c r="F306" s="6">
        <v>46037</v>
      </c>
      <c r="G306" s="4" t="s">
        <v>10</v>
      </c>
      <c r="H306" s="7">
        <v>199.98</v>
      </c>
    </row>
    <row r="307" spans="1:8" ht="12.75" x14ac:dyDescent="0.2">
      <c r="A307" s="4">
        <v>780672</v>
      </c>
      <c r="B307" s="4" t="s">
        <v>454</v>
      </c>
      <c r="C307" s="4" t="s">
        <v>12</v>
      </c>
      <c r="D307" s="4" t="s">
        <v>455</v>
      </c>
      <c r="E307" s="4" t="s">
        <v>9</v>
      </c>
      <c r="F307" s="6">
        <v>46037</v>
      </c>
      <c r="G307" s="4" t="s">
        <v>10</v>
      </c>
      <c r="H307" s="7">
        <v>57</v>
      </c>
    </row>
    <row r="308" spans="1:8" ht="12.75" x14ac:dyDescent="0.2">
      <c r="A308" s="4">
        <v>781136</v>
      </c>
      <c r="B308" s="4" t="s">
        <v>456</v>
      </c>
      <c r="C308" s="4" t="s">
        <v>457</v>
      </c>
      <c r="D308" s="4" t="s">
        <v>458</v>
      </c>
      <c r="E308" s="4" t="s">
        <v>9</v>
      </c>
      <c r="F308" s="6">
        <v>46037</v>
      </c>
      <c r="G308" s="4" t="s">
        <v>10</v>
      </c>
      <c r="H308" s="7">
        <v>25.14</v>
      </c>
    </row>
    <row r="309" spans="1:8" ht="12.75" x14ac:dyDescent="0.2">
      <c r="A309" s="4">
        <v>793075</v>
      </c>
      <c r="B309" s="4" t="s">
        <v>459</v>
      </c>
      <c r="C309" s="4" t="s">
        <v>308</v>
      </c>
      <c r="D309" s="4" t="s">
        <v>460</v>
      </c>
      <c r="E309" s="4" t="s">
        <v>9</v>
      </c>
      <c r="F309" s="6">
        <v>46037</v>
      </c>
      <c r="G309" s="4" t="s">
        <v>10</v>
      </c>
      <c r="H309" s="7">
        <v>305.7</v>
      </c>
    </row>
    <row r="310" spans="1:8" ht="12.75" x14ac:dyDescent="0.2">
      <c r="A310" s="4">
        <v>812103</v>
      </c>
      <c r="B310" s="4" t="s">
        <v>461</v>
      </c>
      <c r="C310" s="4" t="s">
        <v>462</v>
      </c>
      <c r="D310" s="4" t="s">
        <v>463</v>
      </c>
      <c r="E310" s="4" t="s">
        <v>9</v>
      </c>
      <c r="F310" s="6">
        <v>46037</v>
      </c>
      <c r="G310" s="4" t="s">
        <v>10</v>
      </c>
      <c r="H310" s="7">
        <v>352.14</v>
      </c>
    </row>
    <row r="311" spans="1:8" ht="12.75" x14ac:dyDescent="0.2">
      <c r="A311" s="4">
        <v>813090</v>
      </c>
      <c r="B311" s="4" t="s">
        <v>464</v>
      </c>
      <c r="C311" s="4" t="s">
        <v>401</v>
      </c>
      <c r="D311" s="4" t="s">
        <v>465</v>
      </c>
      <c r="E311" s="4" t="s">
        <v>9</v>
      </c>
      <c r="F311" s="6">
        <v>46037</v>
      </c>
      <c r="G311" s="4" t="s">
        <v>10</v>
      </c>
      <c r="H311" s="7">
        <v>21.84</v>
      </c>
    </row>
    <row r="312" spans="1:8" ht="12.75" x14ac:dyDescent="0.2">
      <c r="A312" s="4">
        <v>814153</v>
      </c>
      <c r="B312" s="4" t="s">
        <v>466</v>
      </c>
      <c r="C312" s="4" t="s">
        <v>467</v>
      </c>
      <c r="D312" s="4" t="s">
        <v>468</v>
      </c>
      <c r="E312" s="4" t="s">
        <v>9</v>
      </c>
      <c r="F312" s="6">
        <v>46037</v>
      </c>
      <c r="G312" s="4" t="s">
        <v>10</v>
      </c>
      <c r="H312" s="7">
        <v>31.14</v>
      </c>
    </row>
    <row r="313" spans="1:8" ht="12.75" x14ac:dyDescent="0.2">
      <c r="A313" s="4">
        <v>814943</v>
      </c>
      <c r="B313" s="4" t="s">
        <v>469</v>
      </c>
      <c r="C313" s="4" t="s">
        <v>419</v>
      </c>
      <c r="D313" s="4" t="s">
        <v>470</v>
      </c>
      <c r="E313" s="4" t="s">
        <v>9</v>
      </c>
      <c r="F313" s="6">
        <v>46037</v>
      </c>
      <c r="G313" s="4" t="s">
        <v>10</v>
      </c>
      <c r="H313" s="7">
        <v>25.44</v>
      </c>
    </row>
    <row r="314" spans="1:8" ht="12.75" x14ac:dyDescent="0.2">
      <c r="A314" s="4">
        <v>822955</v>
      </c>
      <c r="B314" s="4" t="s">
        <v>471</v>
      </c>
      <c r="C314" s="4" t="s">
        <v>472</v>
      </c>
      <c r="D314" s="4" t="s">
        <v>473</v>
      </c>
      <c r="E314" s="4" t="s">
        <v>9</v>
      </c>
      <c r="F314" s="6">
        <v>46037</v>
      </c>
      <c r="G314" s="4" t="s">
        <v>10</v>
      </c>
      <c r="H314" s="7">
        <v>17.760000000000002</v>
      </c>
    </row>
    <row r="315" spans="1:8" ht="12.75" x14ac:dyDescent="0.2">
      <c r="A315" s="4">
        <v>15981053875</v>
      </c>
      <c r="B315" s="4" t="s">
        <v>119</v>
      </c>
      <c r="C315" s="5" t="str">
        <f ca="1">IFERROR(__xludf.DUMMYFUNCTION("VLOOKUP(A315,IMPORTRANGE(""https://docs.google.com/spreadsheets/d/1YTzKr_K5JRaPNV_4z6w8eq_6U9Z-8UIZfBG8lUnhgpg/edit?usp=sharing"",""Agencies With Number of Deals A!A:K""),10,0)"),"111000614")</f>
        <v>111000614</v>
      </c>
      <c r="D315" s="5" t="str">
        <f ca="1">IFERROR(__xludf.DUMMYFUNCTION("VLOOKUP(A315,IMPORTRANGE(""https://docs.google.com/spreadsheets/d/1YTzKr_K5JRaPNV_4z6w8eq_6U9Z-8UIZfBG8lUnhgpg/edit?usp=sharing"",""Agencies With Number of Deals A!A:K""),9,0)"),"717166386")</f>
        <v>717166386</v>
      </c>
      <c r="E315" s="4" t="s">
        <v>9</v>
      </c>
      <c r="F315" s="6">
        <v>46037</v>
      </c>
      <c r="G315" s="4" t="s">
        <v>10</v>
      </c>
      <c r="H315" s="7">
        <v>21.84</v>
      </c>
    </row>
    <row r="316" spans="1:8" ht="12.75" x14ac:dyDescent="0.2">
      <c r="A316" s="4">
        <v>881528</v>
      </c>
      <c r="B316" s="4" t="s">
        <v>474</v>
      </c>
      <c r="C316" s="4" t="s">
        <v>475</v>
      </c>
      <c r="D316" s="4" t="s">
        <v>476</v>
      </c>
      <c r="E316" s="4" t="s">
        <v>9</v>
      </c>
      <c r="F316" s="6">
        <v>46037</v>
      </c>
      <c r="G316" s="4" t="s">
        <v>10</v>
      </c>
      <c r="H316" s="7">
        <v>8.6999999999999993</v>
      </c>
    </row>
    <row r="317" spans="1:8" ht="12.75" x14ac:dyDescent="0.2">
      <c r="A317" s="4">
        <v>930713</v>
      </c>
      <c r="B317" s="4" t="s">
        <v>477</v>
      </c>
      <c r="C317" s="4" t="s">
        <v>478</v>
      </c>
      <c r="D317" s="4" t="s">
        <v>479</v>
      </c>
      <c r="E317" s="4" t="s">
        <v>9</v>
      </c>
      <c r="F317" s="6">
        <v>46037</v>
      </c>
      <c r="G317" s="4" t="s">
        <v>10</v>
      </c>
      <c r="H317" s="7">
        <v>31.86</v>
      </c>
    </row>
    <row r="318" spans="1:8" ht="12.75" x14ac:dyDescent="0.2">
      <c r="A318" s="4">
        <v>41914031448</v>
      </c>
      <c r="B318" s="4" t="s">
        <v>274</v>
      </c>
      <c r="C318" s="5" t="str">
        <f ca="1">IFERROR(__xludf.DUMMYFUNCTION("VLOOKUP(A318,IMPORTRANGE(""https://docs.google.com/spreadsheets/d/1YTzKr_K5JRaPNV_4z6w8eq_6U9Z-8UIZfBG8lUnhgpg/edit?usp=sharing"",""Agencies With Number of Deals A!A:K""),10,0)"),"101000019")</f>
        <v>101000019</v>
      </c>
      <c r="D318" s="5" t="str">
        <f ca="1">IFERROR(__xludf.DUMMYFUNCTION("VLOOKUP(A318,IMPORTRANGE(""https://docs.google.com/spreadsheets/d/1YTzKr_K5JRaPNV_4z6w8eq_6U9Z-8UIZfBG8lUnhgpg/edit?usp=sharing"",""Agencies With Number of Deals A!A:K""),9,0)"),"312114910")</f>
        <v>312114910</v>
      </c>
      <c r="E318" s="4" t="s">
        <v>9</v>
      </c>
      <c r="F318" s="6">
        <v>46037</v>
      </c>
      <c r="G318" s="4" t="s">
        <v>10</v>
      </c>
      <c r="H318" s="7">
        <v>43.8</v>
      </c>
    </row>
    <row r="319" spans="1:8" ht="12.75" x14ac:dyDescent="0.2">
      <c r="A319" s="4">
        <v>936720</v>
      </c>
      <c r="B319" s="4" t="s">
        <v>480</v>
      </c>
      <c r="C319" s="4" t="s">
        <v>415</v>
      </c>
      <c r="D319" s="4" t="s">
        <v>481</v>
      </c>
      <c r="E319" s="4" t="s">
        <v>9</v>
      </c>
      <c r="F319" s="6">
        <v>46037</v>
      </c>
      <c r="G319" s="4" t="s">
        <v>10</v>
      </c>
      <c r="H319" s="7">
        <v>16.260000000000002</v>
      </c>
    </row>
    <row r="320" spans="1:8" ht="12.75" x14ac:dyDescent="0.2">
      <c r="A320" s="4">
        <v>938182</v>
      </c>
      <c r="B320" s="4" t="s">
        <v>482</v>
      </c>
      <c r="C320" s="4" t="s">
        <v>325</v>
      </c>
      <c r="D320" s="4" t="s">
        <v>483</v>
      </c>
      <c r="E320" s="4" t="s">
        <v>9</v>
      </c>
      <c r="F320" s="6">
        <v>46037</v>
      </c>
      <c r="G320" s="4" t="s">
        <v>10</v>
      </c>
      <c r="H320" s="7">
        <v>34.74</v>
      </c>
    </row>
    <row r="321" spans="1:8" ht="12.75" x14ac:dyDescent="0.2">
      <c r="A321" s="4">
        <v>21399428711</v>
      </c>
      <c r="B321" s="4" t="s">
        <v>484</v>
      </c>
      <c r="C321" s="5" t="str">
        <f ca="1">IFERROR(__xludf.DUMMYFUNCTION("VLOOKUP(A321,IMPORTRANGE(""https://docs.google.com/spreadsheets/d/1YTzKr_K5JRaPNV_4z6w8eq_6U9Z-8UIZfBG8lUnhgpg/edit?usp=sharing"",""Agencies With Number of Deals A!A:K""),10,0)"),"041272279")</f>
        <v>041272279</v>
      </c>
      <c r="D321" s="5" t="str">
        <f ca="1">IFERROR(__xludf.DUMMYFUNCTION("VLOOKUP(A321,IMPORTRANGE(""https://docs.google.com/spreadsheets/d/1YTzKr_K5JRaPNV_4z6w8eq_6U9Z-8UIZfBG8lUnhgpg/edit?usp=sharing"",""Agencies With Number of Deals A!A:K""),9,0)"),"100328576")</f>
        <v>100328576</v>
      </c>
      <c r="E321" s="4" t="s">
        <v>9</v>
      </c>
      <c r="F321" s="6">
        <v>46037</v>
      </c>
      <c r="G321" s="4" t="s">
        <v>10</v>
      </c>
      <c r="H321" s="7">
        <v>4942.68</v>
      </c>
    </row>
    <row r="322" spans="1:8" ht="12.75" x14ac:dyDescent="0.2">
      <c r="A322" s="4">
        <v>46919495736</v>
      </c>
      <c r="B322" s="4" t="s">
        <v>485</v>
      </c>
      <c r="C322" s="5" t="str">
        <f ca="1">IFERROR(__xludf.DUMMYFUNCTION("VLOOKUP(A322,IMPORTRANGE(""https://docs.google.com/spreadsheets/d/1YTzKr_K5JRaPNV_4z6w8eq_6U9Z-8UIZfBG8lUnhgpg/edit?usp=sharing"",""Agencies With Number of Deals A!A:K""),10,0)"),"111301122")</f>
        <v>111301122</v>
      </c>
      <c r="D322" s="5" t="str">
        <f ca="1">IFERROR(__xludf.DUMMYFUNCTION("VLOOKUP(A322,IMPORTRANGE(""https://docs.google.com/spreadsheets/d/1YTzKr_K5JRaPNV_4z6w8eq_6U9Z-8UIZfBG8lUnhgpg/edit?usp=sharing"",""Agencies With Number of Deals A!A:K""),9,0)"),"2110117450")</f>
        <v>2110117450</v>
      </c>
      <c r="E322" s="4" t="s">
        <v>9</v>
      </c>
      <c r="F322" s="6">
        <v>46037</v>
      </c>
      <c r="G322" s="4" t="s">
        <v>10</v>
      </c>
      <c r="H322" s="7">
        <v>433.56</v>
      </c>
    </row>
    <row r="323" spans="1:8" ht="12.75" x14ac:dyDescent="0.2">
      <c r="A323" s="4">
        <v>31904289087</v>
      </c>
      <c r="B323" s="4" t="s">
        <v>486</v>
      </c>
      <c r="C323" s="5" t="str">
        <f ca="1">IFERROR(__xludf.DUMMYFUNCTION("VLOOKUP(A323,IMPORTRANGE(""https://docs.google.com/spreadsheets/d/1YTzKr_K5JRaPNV_4z6w8eq_6U9Z-8UIZfBG8lUnhgpg/edit?usp=sharing"",""Agencies With Number of Deals A!A:K""),10,0)"),"053201607")</f>
        <v>053201607</v>
      </c>
      <c r="D323" s="5" t="str">
        <f ca="1">IFERROR(__xludf.DUMMYFUNCTION("VLOOKUP(A323,IMPORTRANGE(""https://docs.google.com/spreadsheets/d/1YTzKr_K5JRaPNV_4z6w8eq_6U9Z-8UIZfBG8lUnhgpg/edit?usp=sharing"",""Agencies With Number of Deals A!A:K""),9,0)"),"1410002848705")</f>
        <v>1410002848705</v>
      </c>
      <c r="E323" s="4" t="s">
        <v>9</v>
      </c>
      <c r="F323" s="6">
        <v>46037</v>
      </c>
      <c r="G323" s="4" t="s">
        <v>10</v>
      </c>
      <c r="H323" s="7">
        <v>624.36</v>
      </c>
    </row>
    <row r="324" spans="1:8" ht="12.75" x14ac:dyDescent="0.2">
      <c r="A324" s="4">
        <v>16755099780</v>
      </c>
      <c r="B324" s="4" t="s">
        <v>487</v>
      </c>
      <c r="C324" s="5" t="str">
        <f ca="1">IFERROR(__xludf.DUMMYFUNCTION("VLOOKUP(A324,IMPORTRANGE(""https://docs.google.com/spreadsheets/d/1YTzKr_K5JRaPNV_4z6w8eq_6U9Z-8UIZfBG8lUnhgpg/edit?usp=sharing"",""Agencies With Number of Deals A!A:K""),10,0)"),"053101121")</f>
        <v>053101121</v>
      </c>
      <c r="D324" s="5" t="str">
        <f ca="1">IFERROR(__xludf.DUMMYFUNCTION("VLOOKUP(A324,IMPORTRANGE(""https://docs.google.com/spreadsheets/d/1YTzKr_K5JRaPNV_4z6w8eq_6U9Z-8UIZfBG8lUnhgpg/edit?usp=sharing"",""Agencies With Number of Deals A!A:K""),9,0)"),"0005198816436")</f>
        <v>0005198816436</v>
      </c>
      <c r="E324" s="4" t="s">
        <v>9</v>
      </c>
      <c r="F324" s="6">
        <v>46037</v>
      </c>
      <c r="G324" s="4" t="s">
        <v>10</v>
      </c>
      <c r="H324" s="7">
        <v>5887.8</v>
      </c>
    </row>
    <row r="325" spans="1:8" ht="12.75" x14ac:dyDescent="0.2">
      <c r="A325" s="4">
        <v>7320875264</v>
      </c>
      <c r="B325" s="4" t="s">
        <v>488</v>
      </c>
      <c r="C325" s="5" t="str">
        <f ca="1">IFERROR(__xludf.DUMMYFUNCTION("VLOOKUP(A325,IMPORTRANGE(""https://docs.google.com/spreadsheets/d/1YTzKr_K5JRaPNV_4z6w8eq_6U9Z-8UIZfBG8lUnhgpg/edit?usp=sharing"",""Agencies With Number of Deals A!A:K""),10,0)"),"124000054")</f>
        <v>124000054</v>
      </c>
      <c r="D325" s="5" t="str">
        <f ca="1">IFERROR(__xludf.DUMMYFUNCTION("VLOOKUP(A325,IMPORTRANGE(""https://docs.google.com/spreadsheets/d/1YTzKr_K5JRaPNV_4z6w8eq_6U9Z-8UIZfBG8lUnhgpg/edit?usp=sharing"",""Agencies With Number of Deals A!A:K""),9,0)"),"91041913")</f>
        <v>91041913</v>
      </c>
      <c r="E325" s="4" t="s">
        <v>9</v>
      </c>
      <c r="F325" s="6">
        <v>46037</v>
      </c>
      <c r="G325" s="4" t="s">
        <v>10</v>
      </c>
      <c r="H325" s="7">
        <v>1036.2</v>
      </c>
    </row>
    <row r="326" spans="1:8" ht="12.75" x14ac:dyDescent="0.2">
      <c r="A326" s="4">
        <v>39614768641</v>
      </c>
      <c r="B326" s="4" t="s">
        <v>489</v>
      </c>
      <c r="C326" s="5" t="s">
        <v>490</v>
      </c>
      <c r="D326" s="5" t="s">
        <v>491</v>
      </c>
      <c r="E326" s="4" t="s">
        <v>9</v>
      </c>
      <c r="F326" s="6">
        <v>46037</v>
      </c>
      <c r="G326" s="4" t="s">
        <v>10</v>
      </c>
      <c r="H326" s="7">
        <v>2324.8199999999997</v>
      </c>
    </row>
    <row r="327" spans="1:8" ht="12.75" x14ac:dyDescent="0.2">
      <c r="C327" s="5"/>
      <c r="D327" s="5"/>
      <c r="F327" s="6"/>
      <c r="H327" s="7"/>
    </row>
    <row r="328" spans="1:8" ht="12.75" x14ac:dyDescent="0.2">
      <c r="C328" s="5"/>
      <c r="D328" s="5"/>
      <c r="H328" s="7"/>
    </row>
    <row r="329" spans="1:8" ht="12.75" x14ac:dyDescent="0.2">
      <c r="C329" s="5"/>
      <c r="D329" s="5"/>
      <c r="F329" s="6"/>
      <c r="H329" s="7"/>
    </row>
    <row r="330" spans="1:8" ht="12.75" x14ac:dyDescent="0.2">
      <c r="C330" s="5"/>
      <c r="D330" s="5"/>
      <c r="H330" s="7"/>
    </row>
    <row r="331" spans="1:8" ht="12.75" x14ac:dyDescent="0.2">
      <c r="C331" s="5"/>
      <c r="D331" s="5"/>
      <c r="H331" s="7"/>
    </row>
    <row r="332" spans="1:8" ht="12.75" x14ac:dyDescent="0.2">
      <c r="C332" s="5"/>
      <c r="D332" s="5"/>
      <c r="H332" s="7"/>
    </row>
    <row r="333" spans="1:8" ht="12.75" x14ac:dyDescent="0.2">
      <c r="C333" s="5"/>
      <c r="D333" s="5"/>
      <c r="H333" s="7"/>
    </row>
    <row r="334" spans="1:8" ht="12.75" x14ac:dyDescent="0.2">
      <c r="C334" s="5"/>
      <c r="D334" s="5"/>
      <c r="H334" s="7"/>
    </row>
    <row r="335" spans="1:8" ht="12.75" x14ac:dyDescent="0.2">
      <c r="C335" s="5"/>
      <c r="D335" s="5"/>
      <c r="H335" s="7"/>
    </row>
    <row r="336" spans="1:8" ht="12.75" x14ac:dyDescent="0.2">
      <c r="C336" s="5"/>
      <c r="D336" s="5"/>
      <c r="H336" s="7"/>
    </row>
    <row r="337" spans="3:8" ht="12.75" x14ac:dyDescent="0.2">
      <c r="C337" s="5"/>
      <c r="D337" s="5"/>
      <c r="H337" s="7"/>
    </row>
    <row r="338" spans="3:8" ht="12.75" x14ac:dyDescent="0.2">
      <c r="C338" s="5"/>
      <c r="D338" s="5"/>
      <c r="H338" s="7"/>
    </row>
    <row r="339" spans="3:8" ht="12.75" x14ac:dyDescent="0.2">
      <c r="C339" s="5"/>
      <c r="D339" s="5"/>
      <c r="H339" s="7"/>
    </row>
    <row r="340" spans="3:8" ht="12.75" x14ac:dyDescent="0.2">
      <c r="C340" s="5"/>
      <c r="D340" s="5"/>
      <c r="H340" s="7"/>
    </row>
    <row r="341" spans="3:8" ht="12.75" x14ac:dyDescent="0.2">
      <c r="C341" s="5"/>
      <c r="D341" s="5"/>
      <c r="H341" s="7"/>
    </row>
    <row r="342" spans="3:8" ht="12.75" x14ac:dyDescent="0.2">
      <c r="C342" s="5"/>
      <c r="D342" s="5"/>
      <c r="H342" s="7"/>
    </row>
    <row r="343" spans="3:8" ht="12.75" x14ac:dyDescent="0.2">
      <c r="C343" s="5"/>
      <c r="D343" s="5"/>
      <c r="H343" s="7"/>
    </row>
    <row r="344" spans="3:8" ht="12.75" x14ac:dyDescent="0.2">
      <c r="C344" s="5"/>
      <c r="D344" s="5"/>
      <c r="H344" s="7"/>
    </row>
    <row r="345" spans="3:8" ht="12.75" x14ac:dyDescent="0.2">
      <c r="C345" s="5"/>
      <c r="D345" s="5"/>
      <c r="H345" s="7"/>
    </row>
    <row r="346" spans="3:8" ht="12.75" x14ac:dyDescent="0.2">
      <c r="C346" s="5"/>
      <c r="D346" s="5"/>
      <c r="H346" s="7"/>
    </row>
    <row r="347" spans="3:8" ht="12.75" x14ac:dyDescent="0.2">
      <c r="C347" s="5"/>
      <c r="D347" s="5"/>
      <c r="H347" s="7"/>
    </row>
    <row r="348" spans="3:8" ht="12.75" x14ac:dyDescent="0.2">
      <c r="C348" s="5"/>
      <c r="D348" s="5"/>
      <c r="H348" s="7"/>
    </row>
    <row r="349" spans="3:8" ht="12.75" x14ac:dyDescent="0.2">
      <c r="C349" s="5"/>
      <c r="D349" s="5"/>
      <c r="H349" s="7"/>
    </row>
    <row r="350" spans="3:8" ht="12.75" x14ac:dyDescent="0.2">
      <c r="C350" s="5"/>
      <c r="D350" s="5"/>
      <c r="H350" s="7"/>
    </row>
    <row r="351" spans="3:8" ht="12.75" x14ac:dyDescent="0.2">
      <c r="C351" s="5"/>
      <c r="D351" s="5"/>
      <c r="H351" s="7"/>
    </row>
    <row r="352" spans="3:8" ht="12.75" x14ac:dyDescent="0.2">
      <c r="C352" s="5"/>
      <c r="D352" s="5"/>
      <c r="H352" s="7"/>
    </row>
    <row r="353" spans="3:8" ht="12.75" x14ac:dyDescent="0.2">
      <c r="C353" s="5"/>
      <c r="D353" s="5"/>
      <c r="H353" s="7"/>
    </row>
    <row r="354" spans="3:8" ht="12.75" x14ac:dyDescent="0.2">
      <c r="C354" s="5"/>
      <c r="D354" s="5"/>
      <c r="H354" s="7"/>
    </row>
    <row r="355" spans="3:8" ht="12.75" x14ac:dyDescent="0.2">
      <c r="C355" s="5"/>
      <c r="D355" s="5"/>
      <c r="H355" s="7"/>
    </row>
    <row r="356" spans="3:8" ht="12.75" x14ac:dyDescent="0.2">
      <c r="C356" s="5"/>
      <c r="D356" s="5"/>
      <c r="H356" s="7"/>
    </row>
    <row r="357" spans="3:8" ht="12.75" x14ac:dyDescent="0.2">
      <c r="C357" s="5"/>
      <c r="D357" s="5"/>
      <c r="H357" s="7"/>
    </row>
    <row r="358" spans="3:8" ht="12.75" x14ac:dyDescent="0.2">
      <c r="C358" s="5"/>
      <c r="D358" s="5"/>
      <c r="H358" s="7"/>
    </row>
    <row r="359" spans="3:8" ht="12.75" x14ac:dyDescent="0.2">
      <c r="C359" s="5"/>
      <c r="D359" s="5"/>
      <c r="H359" s="7"/>
    </row>
    <row r="360" spans="3:8" ht="12.75" x14ac:dyDescent="0.2">
      <c r="C360" s="5"/>
      <c r="D360" s="5"/>
      <c r="H360" s="7"/>
    </row>
    <row r="361" spans="3:8" ht="12.75" x14ac:dyDescent="0.2">
      <c r="C361" s="5"/>
      <c r="D361" s="5"/>
      <c r="H361" s="7"/>
    </row>
    <row r="362" spans="3:8" ht="12.75" x14ac:dyDescent="0.2">
      <c r="C362" s="5"/>
      <c r="D362" s="5"/>
      <c r="H362" s="7"/>
    </row>
    <row r="363" spans="3:8" ht="12.75" x14ac:dyDescent="0.2">
      <c r="C363" s="5"/>
      <c r="D363" s="5"/>
      <c r="H363" s="7"/>
    </row>
    <row r="364" spans="3:8" ht="12.75" x14ac:dyDescent="0.2">
      <c r="C364" s="5"/>
      <c r="D364" s="5"/>
      <c r="H364" s="7"/>
    </row>
    <row r="365" spans="3:8" ht="12.75" x14ac:dyDescent="0.2">
      <c r="C365" s="5"/>
      <c r="D365" s="5"/>
      <c r="H365" s="7"/>
    </row>
    <row r="366" spans="3:8" ht="12.75" x14ac:dyDescent="0.2">
      <c r="C366" s="5"/>
      <c r="D366" s="5"/>
      <c r="H366" s="7"/>
    </row>
    <row r="367" spans="3:8" ht="12.75" x14ac:dyDescent="0.2">
      <c r="C367" s="5"/>
      <c r="D367" s="5"/>
      <c r="H367" s="7"/>
    </row>
    <row r="368" spans="3:8" ht="12.75" x14ac:dyDescent="0.2">
      <c r="C368" s="5"/>
      <c r="D368" s="5"/>
      <c r="H368" s="7"/>
    </row>
    <row r="369" spans="3:8" ht="12.75" x14ac:dyDescent="0.2">
      <c r="C369" s="5"/>
      <c r="D369" s="5"/>
      <c r="H369" s="7"/>
    </row>
    <row r="370" spans="3:8" ht="12.75" x14ac:dyDescent="0.2">
      <c r="C370" s="5"/>
      <c r="D370" s="5"/>
      <c r="H370" s="7"/>
    </row>
    <row r="371" spans="3:8" ht="12.75" x14ac:dyDescent="0.2">
      <c r="C371" s="5"/>
      <c r="D371" s="5"/>
      <c r="H371" s="7"/>
    </row>
    <row r="372" spans="3:8" ht="12.75" x14ac:dyDescent="0.2">
      <c r="C372" s="5"/>
      <c r="D372" s="5"/>
      <c r="H372" s="7"/>
    </row>
    <row r="373" spans="3:8" ht="12.75" x14ac:dyDescent="0.2">
      <c r="C373" s="5"/>
      <c r="D373" s="5"/>
      <c r="H373" s="7"/>
    </row>
    <row r="374" spans="3:8" ht="12.75" x14ac:dyDescent="0.2">
      <c r="C374" s="5"/>
      <c r="D374" s="5"/>
      <c r="H374" s="7"/>
    </row>
    <row r="375" spans="3:8" ht="12.75" x14ac:dyDescent="0.2">
      <c r="C375" s="5"/>
      <c r="D375" s="5"/>
      <c r="H375" s="7"/>
    </row>
    <row r="376" spans="3:8" ht="12.75" x14ac:dyDescent="0.2">
      <c r="C376" s="5"/>
      <c r="D376" s="5"/>
      <c r="H376" s="7"/>
    </row>
    <row r="377" spans="3:8" ht="12.75" x14ac:dyDescent="0.2">
      <c r="C377" s="5"/>
      <c r="D377" s="5"/>
      <c r="H377" s="7"/>
    </row>
    <row r="378" spans="3:8" ht="12.75" x14ac:dyDescent="0.2">
      <c r="C378" s="5"/>
      <c r="D378" s="5"/>
      <c r="H378" s="7"/>
    </row>
    <row r="379" spans="3:8" ht="12.75" x14ac:dyDescent="0.2">
      <c r="C379" s="5"/>
      <c r="D379" s="5"/>
      <c r="H379" s="7"/>
    </row>
    <row r="380" spans="3:8" ht="12.75" x14ac:dyDescent="0.2">
      <c r="C380" s="5"/>
      <c r="D380" s="5"/>
      <c r="H380" s="7"/>
    </row>
    <row r="381" spans="3:8" ht="12.75" x14ac:dyDescent="0.2">
      <c r="C381" s="5"/>
      <c r="D381" s="5"/>
      <c r="H381" s="7"/>
    </row>
    <row r="382" spans="3:8" ht="12.75" x14ac:dyDescent="0.2">
      <c r="C382" s="5"/>
      <c r="D382" s="5"/>
      <c r="H382" s="7"/>
    </row>
    <row r="383" spans="3:8" ht="12.75" x14ac:dyDescent="0.2">
      <c r="C383" s="5"/>
      <c r="D383" s="5"/>
      <c r="H383" s="7"/>
    </row>
    <row r="384" spans="3:8" ht="12.75" x14ac:dyDescent="0.2">
      <c r="C384" s="5"/>
      <c r="D384" s="5"/>
      <c r="H384" s="7"/>
    </row>
    <row r="385" spans="3:8" ht="12.75" x14ac:dyDescent="0.2">
      <c r="C385" s="5"/>
      <c r="D385" s="5"/>
      <c r="H385" s="7"/>
    </row>
    <row r="386" spans="3:8" ht="12.75" x14ac:dyDescent="0.2">
      <c r="C386" s="5"/>
      <c r="D386" s="5"/>
      <c r="H386" s="7"/>
    </row>
    <row r="387" spans="3:8" ht="12.75" x14ac:dyDescent="0.2">
      <c r="C387" s="5"/>
      <c r="D387" s="5"/>
      <c r="H387" s="7"/>
    </row>
    <row r="388" spans="3:8" ht="12.75" x14ac:dyDescent="0.2">
      <c r="C388" s="5"/>
      <c r="D388" s="5"/>
      <c r="H388" s="7"/>
    </row>
    <row r="389" spans="3:8" ht="12.75" x14ac:dyDescent="0.2">
      <c r="C389" s="5"/>
      <c r="D389" s="5"/>
      <c r="H389" s="7"/>
    </row>
    <row r="390" spans="3:8" ht="12.75" x14ac:dyDescent="0.2">
      <c r="C390" s="5"/>
      <c r="D390" s="5"/>
      <c r="H390" s="7"/>
    </row>
    <row r="391" spans="3:8" ht="12.75" x14ac:dyDescent="0.2">
      <c r="C391" s="5"/>
      <c r="D391" s="5"/>
      <c r="H391" s="7"/>
    </row>
    <row r="392" spans="3:8" ht="12.75" x14ac:dyDescent="0.2">
      <c r="C392" s="5"/>
      <c r="D392" s="5"/>
      <c r="H392" s="7"/>
    </row>
    <row r="393" spans="3:8" ht="12.75" x14ac:dyDescent="0.2">
      <c r="C393" s="5"/>
      <c r="D393" s="5"/>
      <c r="H393" s="7"/>
    </row>
    <row r="394" spans="3:8" ht="12.75" x14ac:dyDescent="0.2">
      <c r="C394" s="5"/>
      <c r="D394" s="5"/>
      <c r="H394" s="7"/>
    </row>
    <row r="395" spans="3:8" ht="12.75" x14ac:dyDescent="0.2">
      <c r="C395" s="5"/>
      <c r="D395" s="5"/>
      <c r="H395" s="7"/>
    </row>
    <row r="396" spans="3:8" ht="12.75" x14ac:dyDescent="0.2">
      <c r="C396" s="5"/>
      <c r="D396" s="5"/>
      <c r="H396" s="7"/>
    </row>
    <row r="397" spans="3:8" ht="12.75" x14ac:dyDescent="0.2">
      <c r="C397" s="5"/>
      <c r="D397" s="5"/>
      <c r="H397" s="7"/>
    </row>
    <row r="398" spans="3:8" ht="12.75" x14ac:dyDescent="0.2">
      <c r="C398" s="5"/>
      <c r="D398" s="5"/>
      <c r="H398" s="7"/>
    </row>
    <row r="399" spans="3:8" ht="12.75" x14ac:dyDescent="0.2">
      <c r="C399" s="5"/>
      <c r="D399" s="5"/>
      <c r="H399" s="7"/>
    </row>
    <row r="400" spans="3:8" ht="12.75" x14ac:dyDescent="0.2">
      <c r="C400" s="5"/>
      <c r="D400" s="5"/>
      <c r="H400" s="7"/>
    </row>
    <row r="401" spans="3:8" ht="12.75" x14ac:dyDescent="0.2">
      <c r="C401" s="5"/>
      <c r="D401" s="5"/>
      <c r="H401" s="7"/>
    </row>
    <row r="402" spans="3:8" ht="12.75" x14ac:dyDescent="0.2">
      <c r="C402" s="5"/>
      <c r="D402" s="5"/>
      <c r="H402" s="7"/>
    </row>
    <row r="403" spans="3:8" ht="12.75" x14ac:dyDescent="0.2">
      <c r="C403" s="5"/>
      <c r="D403" s="5"/>
      <c r="H403" s="7"/>
    </row>
    <row r="404" spans="3:8" ht="12.75" x14ac:dyDescent="0.2">
      <c r="C404" s="5"/>
      <c r="D404" s="5"/>
      <c r="H404" s="7"/>
    </row>
    <row r="405" spans="3:8" ht="12.75" x14ac:dyDescent="0.2">
      <c r="C405" s="5"/>
      <c r="D405" s="5"/>
      <c r="H405" s="7"/>
    </row>
    <row r="406" spans="3:8" ht="12.75" x14ac:dyDescent="0.2">
      <c r="C406" s="5"/>
      <c r="D406" s="5"/>
      <c r="H406" s="7"/>
    </row>
    <row r="407" spans="3:8" ht="12.75" x14ac:dyDescent="0.2">
      <c r="C407" s="5"/>
      <c r="D407" s="5"/>
      <c r="H407" s="7"/>
    </row>
    <row r="408" spans="3:8" ht="12.75" x14ac:dyDescent="0.2">
      <c r="C408" s="5"/>
      <c r="D408" s="5"/>
      <c r="H408" s="7"/>
    </row>
    <row r="409" spans="3:8" ht="12.75" x14ac:dyDescent="0.2">
      <c r="C409" s="5"/>
      <c r="D409" s="5"/>
      <c r="H409" s="7"/>
    </row>
    <row r="410" spans="3:8" ht="12.75" x14ac:dyDescent="0.2">
      <c r="C410" s="5"/>
      <c r="D410" s="5"/>
      <c r="H410" s="7"/>
    </row>
    <row r="411" spans="3:8" ht="12.75" x14ac:dyDescent="0.2">
      <c r="C411" s="5"/>
      <c r="D411" s="5"/>
      <c r="H411" s="7"/>
    </row>
    <row r="412" spans="3:8" ht="12.75" x14ac:dyDescent="0.2">
      <c r="C412" s="5"/>
      <c r="D412" s="5"/>
      <c r="H412" s="7"/>
    </row>
    <row r="413" spans="3:8" ht="12.75" x14ac:dyDescent="0.2">
      <c r="C413" s="5"/>
      <c r="D413" s="5"/>
      <c r="H413" s="7"/>
    </row>
    <row r="414" spans="3:8" ht="12.75" x14ac:dyDescent="0.2">
      <c r="C414" s="5"/>
      <c r="D414" s="5"/>
      <c r="H414" s="7"/>
    </row>
    <row r="415" spans="3:8" ht="12.75" x14ac:dyDescent="0.2">
      <c r="C415" s="5"/>
      <c r="D415" s="5"/>
      <c r="H415" s="7"/>
    </row>
    <row r="416" spans="3:8" ht="12.75" x14ac:dyDescent="0.2">
      <c r="C416" s="5"/>
      <c r="D416" s="5"/>
      <c r="H416" s="7"/>
    </row>
    <row r="417" spans="3:8" ht="12.75" x14ac:dyDescent="0.2">
      <c r="C417" s="5"/>
      <c r="D417" s="5"/>
      <c r="H417" s="7"/>
    </row>
    <row r="418" spans="3:8" ht="12.75" x14ac:dyDescent="0.2">
      <c r="C418" s="5"/>
      <c r="D418" s="5"/>
      <c r="H418" s="7"/>
    </row>
    <row r="419" spans="3:8" ht="12.75" x14ac:dyDescent="0.2">
      <c r="C419" s="5"/>
      <c r="D419" s="5"/>
      <c r="H419" s="7"/>
    </row>
    <row r="420" spans="3:8" ht="12.75" x14ac:dyDescent="0.2">
      <c r="C420" s="5"/>
      <c r="D420" s="5"/>
      <c r="H420" s="7"/>
    </row>
    <row r="421" spans="3:8" ht="12.75" x14ac:dyDescent="0.2">
      <c r="C421" s="5"/>
      <c r="D421" s="5"/>
      <c r="H421" s="7"/>
    </row>
    <row r="422" spans="3:8" ht="12.75" x14ac:dyDescent="0.2">
      <c r="C422" s="5"/>
      <c r="D422" s="5"/>
      <c r="H422" s="7"/>
    </row>
    <row r="423" spans="3:8" ht="12.75" x14ac:dyDescent="0.2">
      <c r="C423" s="5"/>
      <c r="D423" s="5"/>
      <c r="H423" s="7"/>
    </row>
    <row r="424" spans="3:8" ht="12.75" x14ac:dyDescent="0.2">
      <c r="C424" s="5"/>
      <c r="D424" s="5"/>
      <c r="H424" s="7"/>
    </row>
    <row r="425" spans="3:8" ht="12.75" x14ac:dyDescent="0.2">
      <c r="C425" s="5"/>
      <c r="D425" s="5"/>
      <c r="H425" s="7"/>
    </row>
    <row r="426" spans="3:8" ht="12.75" x14ac:dyDescent="0.2">
      <c r="C426" s="5"/>
      <c r="D426" s="5"/>
      <c r="H426" s="7"/>
    </row>
    <row r="427" spans="3:8" ht="12.75" x14ac:dyDescent="0.2">
      <c r="C427" s="5"/>
      <c r="D427" s="5"/>
      <c r="H427" s="7"/>
    </row>
    <row r="428" spans="3:8" ht="12.75" x14ac:dyDescent="0.2">
      <c r="C428" s="5"/>
      <c r="D428" s="5"/>
      <c r="H428" s="7"/>
    </row>
    <row r="429" spans="3:8" ht="12.75" x14ac:dyDescent="0.2">
      <c r="C429" s="5"/>
      <c r="D429" s="5"/>
      <c r="H429" s="7"/>
    </row>
    <row r="430" spans="3:8" ht="12.75" x14ac:dyDescent="0.2">
      <c r="C430" s="5"/>
      <c r="D430" s="5"/>
      <c r="H430" s="7"/>
    </row>
    <row r="431" spans="3:8" ht="12.75" x14ac:dyDescent="0.2">
      <c r="C431" s="5"/>
      <c r="D431" s="5"/>
      <c r="H431" s="7"/>
    </row>
    <row r="432" spans="3:8" ht="12.75" x14ac:dyDescent="0.2">
      <c r="C432" s="5"/>
      <c r="D432" s="5"/>
      <c r="H432" s="7"/>
    </row>
    <row r="433" spans="3:8" ht="12.75" x14ac:dyDescent="0.2">
      <c r="C433" s="5"/>
      <c r="D433" s="5"/>
      <c r="H433" s="7"/>
    </row>
    <row r="434" spans="3:8" ht="12.75" x14ac:dyDescent="0.2">
      <c r="C434" s="5"/>
      <c r="D434" s="5"/>
      <c r="H434" s="7"/>
    </row>
    <row r="435" spans="3:8" ht="12.75" x14ac:dyDescent="0.2">
      <c r="C435" s="5"/>
      <c r="D435" s="5"/>
      <c r="H435" s="7"/>
    </row>
    <row r="436" spans="3:8" ht="12.75" x14ac:dyDescent="0.2">
      <c r="C436" s="5"/>
      <c r="D436" s="5"/>
      <c r="H436" s="7"/>
    </row>
    <row r="437" spans="3:8" ht="12.75" x14ac:dyDescent="0.2">
      <c r="C437" s="5"/>
      <c r="D437" s="5"/>
      <c r="H437" s="7"/>
    </row>
    <row r="438" spans="3:8" ht="12.75" x14ac:dyDescent="0.2">
      <c r="C438" s="5"/>
      <c r="D438" s="5"/>
      <c r="H438" s="7"/>
    </row>
    <row r="439" spans="3:8" ht="12.75" x14ac:dyDescent="0.2">
      <c r="C439" s="5"/>
      <c r="D439" s="5"/>
      <c r="H439" s="7"/>
    </row>
    <row r="440" spans="3:8" ht="12.75" x14ac:dyDescent="0.2">
      <c r="C440" s="5"/>
      <c r="D440" s="5"/>
      <c r="H440" s="7"/>
    </row>
    <row r="441" spans="3:8" ht="12.75" x14ac:dyDescent="0.2">
      <c r="C441" s="5"/>
      <c r="D441" s="5"/>
      <c r="H441" s="7"/>
    </row>
    <row r="442" spans="3:8" ht="12.75" x14ac:dyDescent="0.2">
      <c r="C442" s="5"/>
      <c r="D442" s="5"/>
      <c r="H442" s="7"/>
    </row>
    <row r="443" spans="3:8" ht="12.75" x14ac:dyDescent="0.2">
      <c r="C443" s="5"/>
      <c r="D443" s="5"/>
      <c r="H443" s="7"/>
    </row>
    <row r="444" spans="3:8" ht="12.75" x14ac:dyDescent="0.2">
      <c r="C444" s="5"/>
      <c r="D444" s="5"/>
      <c r="H444" s="7"/>
    </row>
    <row r="445" spans="3:8" ht="12.75" x14ac:dyDescent="0.2">
      <c r="C445" s="5"/>
      <c r="D445" s="5"/>
      <c r="H445" s="7"/>
    </row>
    <row r="446" spans="3:8" ht="12.75" x14ac:dyDescent="0.2">
      <c r="C446" s="5"/>
      <c r="D446" s="5"/>
      <c r="H446" s="7"/>
    </row>
    <row r="447" spans="3:8" ht="12.75" x14ac:dyDescent="0.2">
      <c r="C447" s="5"/>
      <c r="D447" s="5"/>
      <c r="H447" s="7"/>
    </row>
    <row r="448" spans="3:8" ht="12.75" x14ac:dyDescent="0.2">
      <c r="C448" s="5"/>
      <c r="D448" s="5"/>
      <c r="H448" s="7"/>
    </row>
    <row r="449" spans="3:8" ht="12.75" x14ac:dyDescent="0.2">
      <c r="C449" s="5"/>
      <c r="D449" s="5"/>
      <c r="H449" s="7"/>
    </row>
    <row r="450" spans="3:8" ht="12.75" x14ac:dyDescent="0.2">
      <c r="C450" s="5"/>
      <c r="D450" s="5"/>
      <c r="H450" s="7"/>
    </row>
    <row r="451" spans="3:8" ht="12.75" x14ac:dyDescent="0.2">
      <c r="C451" s="5"/>
      <c r="D451" s="5"/>
      <c r="H451" s="7"/>
    </row>
    <row r="452" spans="3:8" ht="12.75" x14ac:dyDescent="0.2">
      <c r="C452" s="5"/>
      <c r="D452" s="5"/>
      <c r="H452" s="7"/>
    </row>
    <row r="453" spans="3:8" ht="12.75" x14ac:dyDescent="0.2">
      <c r="C453" s="5"/>
      <c r="D453" s="5"/>
      <c r="H453" s="7"/>
    </row>
    <row r="454" spans="3:8" ht="12.75" x14ac:dyDescent="0.2">
      <c r="C454" s="5"/>
      <c r="D454" s="5"/>
      <c r="H454" s="7"/>
    </row>
    <row r="455" spans="3:8" ht="12.75" x14ac:dyDescent="0.2">
      <c r="C455" s="5"/>
      <c r="D455" s="5"/>
      <c r="H455" s="7"/>
    </row>
    <row r="456" spans="3:8" ht="12.75" x14ac:dyDescent="0.2">
      <c r="C456" s="5"/>
      <c r="D456" s="5"/>
      <c r="H456" s="7"/>
    </row>
    <row r="457" spans="3:8" ht="12.75" x14ac:dyDescent="0.2">
      <c r="C457" s="5"/>
      <c r="D457" s="5"/>
      <c r="H457" s="7"/>
    </row>
    <row r="458" spans="3:8" ht="12.75" x14ac:dyDescent="0.2">
      <c r="C458" s="5"/>
      <c r="D458" s="5"/>
      <c r="H458" s="7"/>
    </row>
    <row r="459" spans="3:8" ht="12.75" x14ac:dyDescent="0.2">
      <c r="C459" s="5"/>
      <c r="D459" s="5"/>
      <c r="H459" s="7"/>
    </row>
    <row r="460" spans="3:8" ht="12.75" x14ac:dyDescent="0.2">
      <c r="C460" s="5"/>
      <c r="D460" s="5"/>
      <c r="H460" s="7"/>
    </row>
    <row r="461" spans="3:8" ht="12.75" x14ac:dyDescent="0.2">
      <c r="C461" s="5"/>
      <c r="D461" s="5"/>
      <c r="H461" s="7"/>
    </row>
    <row r="462" spans="3:8" ht="12.75" x14ac:dyDescent="0.2">
      <c r="C462" s="5"/>
      <c r="D462" s="5"/>
      <c r="H462" s="7"/>
    </row>
    <row r="463" spans="3:8" ht="12.75" x14ac:dyDescent="0.2">
      <c r="C463" s="5"/>
      <c r="D463" s="5"/>
      <c r="H463" s="7"/>
    </row>
    <row r="464" spans="3:8" ht="12.75" x14ac:dyDescent="0.2">
      <c r="C464" s="5"/>
      <c r="D464" s="5"/>
      <c r="H464" s="7"/>
    </row>
    <row r="465" spans="3:8" ht="12.75" x14ac:dyDescent="0.2">
      <c r="C465" s="5"/>
      <c r="D465" s="5"/>
      <c r="H465" s="7"/>
    </row>
    <row r="466" spans="3:8" ht="12.75" x14ac:dyDescent="0.2">
      <c r="C466" s="5"/>
      <c r="D466" s="5"/>
      <c r="H466" s="7"/>
    </row>
    <row r="467" spans="3:8" ht="12.75" x14ac:dyDescent="0.2">
      <c r="C467" s="5"/>
      <c r="D467" s="5"/>
      <c r="H467" s="7"/>
    </row>
    <row r="468" spans="3:8" ht="12.75" x14ac:dyDescent="0.2">
      <c r="C468" s="5"/>
      <c r="D468" s="5"/>
      <c r="H468" s="7"/>
    </row>
    <row r="469" spans="3:8" ht="12.75" x14ac:dyDescent="0.2">
      <c r="C469" s="5"/>
      <c r="D469" s="5"/>
      <c r="H469" s="7"/>
    </row>
    <row r="470" spans="3:8" ht="12.75" x14ac:dyDescent="0.2">
      <c r="C470" s="5"/>
      <c r="D470" s="5"/>
      <c r="H470" s="7"/>
    </row>
    <row r="471" spans="3:8" ht="12.75" x14ac:dyDescent="0.2">
      <c r="C471" s="5"/>
      <c r="D471" s="5"/>
      <c r="H471" s="7"/>
    </row>
    <row r="472" spans="3:8" ht="12.75" x14ac:dyDescent="0.2">
      <c r="C472" s="5"/>
      <c r="D472" s="5"/>
      <c r="H472" s="7"/>
    </row>
    <row r="473" spans="3:8" ht="12.75" x14ac:dyDescent="0.2">
      <c r="C473" s="5"/>
      <c r="D473" s="5"/>
      <c r="H473" s="7"/>
    </row>
    <row r="474" spans="3:8" ht="12.75" x14ac:dyDescent="0.2">
      <c r="C474" s="5"/>
      <c r="D474" s="5"/>
      <c r="H474" s="7"/>
    </row>
    <row r="475" spans="3:8" ht="12.75" x14ac:dyDescent="0.2">
      <c r="C475" s="5"/>
      <c r="D475" s="5"/>
      <c r="H475" s="7"/>
    </row>
    <row r="476" spans="3:8" ht="12.75" x14ac:dyDescent="0.2">
      <c r="C476" s="5"/>
      <c r="D476" s="5"/>
      <c r="H476" s="7"/>
    </row>
    <row r="477" spans="3:8" ht="12.75" x14ac:dyDescent="0.2">
      <c r="C477" s="5"/>
      <c r="D477" s="5"/>
      <c r="H477" s="7"/>
    </row>
    <row r="478" spans="3:8" ht="12.75" x14ac:dyDescent="0.2">
      <c r="C478" s="5"/>
      <c r="D478" s="5"/>
      <c r="H478" s="7"/>
    </row>
    <row r="479" spans="3:8" ht="12.75" x14ac:dyDescent="0.2">
      <c r="C479" s="5"/>
      <c r="D479" s="5"/>
      <c r="H479" s="7"/>
    </row>
    <row r="480" spans="3:8" ht="12.75" x14ac:dyDescent="0.2">
      <c r="C480" s="5"/>
      <c r="D480" s="5"/>
      <c r="H480" s="7"/>
    </row>
    <row r="481" spans="3:8" ht="12.75" x14ac:dyDescent="0.2">
      <c r="C481" s="5"/>
      <c r="D481" s="5"/>
      <c r="H481" s="7"/>
    </row>
    <row r="482" spans="3:8" ht="12.75" x14ac:dyDescent="0.2">
      <c r="C482" s="5"/>
      <c r="D482" s="5"/>
      <c r="H482" s="7"/>
    </row>
    <row r="483" spans="3:8" ht="12.75" x14ac:dyDescent="0.2">
      <c r="C483" s="5"/>
      <c r="D483" s="5"/>
      <c r="H483" s="7"/>
    </row>
    <row r="484" spans="3:8" ht="12.75" x14ac:dyDescent="0.2">
      <c r="C484" s="5"/>
      <c r="D484" s="5"/>
      <c r="H484" s="7"/>
    </row>
    <row r="485" spans="3:8" ht="12.75" x14ac:dyDescent="0.2">
      <c r="C485" s="5"/>
      <c r="D485" s="5"/>
      <c r="H485" s="7"/>
    </row>
    <row r="486" spans="3:8" ht="12.75" x14ac:dyDescent="0.2">
      <c r="C486" s="5"/>
      <c r="D486" s="5"/>
      <c r="H486" s="7"/>
    </row>
    <row r="487" spans="3:8" ht="12.75" x14ac:dyDescent="0.2">
      <c r="C487" s="5"/>
      <c r="D487" s="5"/>
      <c r="H487" s="7"/>
    </row>
    <row r="488" spans="3:8" ht="12.75" x14ac:dyDescent="0.2">
      <c r="C488" s="5"/>
      <c r="D488" s="5"/>
      <c r="H488" s="7"/>
    </row>
    <row r="489" spans="3:8" ht="12.75" x14ac:dyDescent="0.2">
      <c r="C489" s="5"/>
      <c r="D489" s="5"/>
      <c r="H489" s="7"/>
    </row>
    <row r="490" spans="3:8" ht="12.75" x14ac:dyDescent="0.2">
      <c r="C490" s="5"/>
      <c r="D490" s="5"/>
      <c r="H490" s="7"/>
    </row>
    <row r="491" spans="3:8" ht="12.75" x14ac:dyDescent="0.2">
      <c r="C491" s="5"/>
      <c r="D491" s="5"/>
      <c r="H491" s="7"/>
    </row>
    <row r="492" spans="3:8" ht="12.75" x14ac:dyDescent="0.2">
      <c r="C492" s="5"/>
      <c r="D492" s="5"/>
      <c r="H492" s="7"/>
    </row>
    <row r="493" spans="3:8" ht="12.75" x14ac:dyDescent="0.2">
      <c r="C493" s="5"/>
      <c r="D493" s="5"/>
      <c r="H493" s="7"/>
    </row>
    <row r="494" spans="3:8" ht="12.75" x14ac:dyDescent="0.2">
      <c r="C494" s="5"/>
      <c r="D494" s="5"/>
      <c r="H494" s="7"/>
    </row>
    <row r="495" spans="3:8" ht="12.75" x14ac:dyDescent="0.2">
      <c r="C495" s="5"/>
      <c r="D495" s="5"/>
      <c r="H495" s="7"/>
    </row>
    <row r="496" spans="3:8" ht="12.75" x14ac:dyDescent="0.2">
      <c r="C496" s="5"/>
      <c r="D496" s="5"/>
      <c r="H496" s="7"/>
    </row>
    <row r="497" spans="3:8" ht="12.75" x14ac:dyDescent="0.2">
      <c r="C497" s="5"/>
      <c r="D497" s="5"/>
      <c r="H497" s="7"/>
    </row>
    <row r="498" spans="3:8" ht="12.75" x14ac:dyDescent="0.2">
      <c r="C498" s="5"/>
      <c r="D498" s="5"/>
      <c r="H498" s="7"/>
    </row>
    <row r="499" spans="3:8" ht="12.75" x14ac:dyDescent="0.2">
      <c r="C499" s="5"/>
      <c r="D499" s="5"/>
      <c r="H499" s="7"/>
    </row>
    <row r="500" spans="3:8" ht="12.75" x14ac:dyDescent="0.2">
      <c r="C500" s="5"/>
      <c r="D500" s="5"/>
      <c r="H500" s="7"/>
    </row>
    <row r="501" spans="3:8" ht="12.75" x14ac:dyDescent="0.2">
      <c r="C501" s="5"/>
      <c r="D501" s="5"/>
      <c r="H501" s="7"/>
    </row>
    <row r="502" spans="3:8" ht="12.75" x14ac:dyDescent="0.2">
      <c r="C502" s="5"/>
      <c r="D502" s="5"/>
      <c r="H502" s="7"/>
    </row>
    <row r="503" spans="3:8" ht="12.75" x14ac:dyDescent="0.2">
      <c r="C503" s="5"/>
      <c r="D503" s="5"/>
      <c r="H503" s="7"/>
    </row>
    <row r="504" spans="3:8" ht="12.75" x14ac:dyDescent="0.2">
      <c r="C504" s="5"/>
      <c r="D504" s="5"/>
      <c r="H504" s="7"/>
    </row>
    <row r="505" spans="3:8" ht="12.75" x14ac:dyDescent="0.2">
      <c r="C505" s="5"/>
      <c r="D505" s="5"/>
      <c r="H505" s="7"/>
    </row>
    <row r="506" spans="3:8" ht="12.75" x14ac:dyDescent="0.2">
      <c r="C506" s="5"/>
      <c r="D506" s="5"/>
      <c r="H506" s="7"/>
    </row>
    <row r="507" spans="3:8" ht="12.75" x14ac:dyDescent="0.2">
      <c r="C507" s="5"/>
      <c r="D507" s="5"/>
      <c r="H507" s="7"/>
    </row>
    <row r="508" spans="3:8" ht="12.75" x14ac:dyDescent="0.2">
      <c r="C508" s="5"/>
      <c r="D508" s="5"/>
      <c r="H508" s="7"/>
    </row>
    <row r="509" spans="3:8" ht="12.75" x14ac:dyDescent="0.2">
      <c r="C509" s="5"/>
      <c r="D509" s="5"/>
      <c r="H509" s="7"/>
    </row>
    <row r="510" spans="3:8" ht="12.75" x14ac:dyDescent="0.2">
      <c r="C510" s="5"/>
      <c r="D510" s="5"/>
      <c r="H510" s="7"/>
    </row>
    <row r="511" spans="3:8" ht="12.75" x14ac:dyDescent="0.2">
      <c r="C511" s="5"/>
      <c r="D511" s="5"/>
      <c r="H511" s="7"/>
    </row>
    <row r="512" spans="3:8" ht="12.75" x14ac:dyDescent="0.2">
      <c r="C512" s="5"/>
      <c r="D512" s="5"/>
      <c r="H512" s="7"/>
    </row>
    <row r="513" spans="3:8" ht="12.75" x14ac:dyDescent="0.2">
      <c r="C513" s="5"/>
      <c r="D513" s="5"/>
      <c r="H513" s="7"/>
    </row>
    <row r="514" spans="3:8" ht="12.75" x14ac:dyDescent="0.2">
      <c r="C514" s="5"/>
      <c r="D514" s="5"/>
      <c r="H514" s="7"/>
    </row>
    <row r="515" spans="3:8" ht="12.75" x14ac:dyDescent="0.2">
      <c r="C515" s="5"/>
      <c r="D515" s="5"/>
      <c r="H515" s="7"/>
    </row>
    <row r="516" spans="3:8" ht="12.75" x14ac:dyDescent="0.2">
      <c r="C516" s="5"/>
      <c r="D516" s="5"/>
      <c r="H516" s="7"/>
    </row>
    <row r="517" spans="3:8" ht="12.75" x14ac:dyDescent="0.2">
      <c r="C517" s="5"/>
      <c r="D517" s="5"/>
      <c r="H517" s="7"/>
    </row>
    <row r="518" spans="3:8" ht="12.75" x14ac:dyDescent="0.2">
      <c r="C518" s="5"/>
      <c r="D518" s="5"/>
      <c r="H518" s="7"/>
    </row>
    <row r="519" spans="3:8" ht="12.75" x14ac:dyDescent="0.2">
      <c r="C519" s="5"/>
      <c r="D519" s="5"/>
      <c r="H519" s="7"/>
    </row>
    <row r="520" spans="3:8" ht="12.75" x14ac:dyDescent="0.2">
      <c r="C520" s="5"/>
      <c r="D520" s="5"/>
      <c r="H520" s="7"/>
    </row>
    <row r="521" spans="3:8" ht="12.75" x14ac:dyDescent="0.2">
      <c r="C521" s="5"/>
      <c r="D521" s="5"/>
      <c r="H521" s="7"/>
    </row>
    <row r="522" spans="3:8" ht="12.75" x14ac:dyDescent="0.2">
      <c r="C522" s="5"/>
      <c r="D522" s="5"/>
      <c r="H522" s="7"/>
    </row>
    <row r="523" spans="3:8" ht="12.75" x14ac:dyDescent="0.2">
      <c r="C523" s="5"/>
      <c r="D523" s="5"/>
      <c r="H523" s="7"/>
    </row>
    <row r="524" spans="3:8" ht="12.75" x14ac:dyDescent="0.2">
      <c r="C524" s="5"/>
      <c r="D524" s="5"/>
      <c r="H524" s="7"/>
    </row>
    <row r="525" spans="3:8" ht="12.75" x14ac:dyDescent="0.2">
      <c r="C525" s="5"/>
      <c r="D525" s="5"/>
      <c r="H525" s="7"/>
    </row>
    <row r="526" spans="3:8" ht="12.75" x14ac:dyDescent="0.2">
      <c r="C526" s="5"/>
      <c r="D526" s="5"/>
      <c r="H526" s="7"/>
    </row>
    <row r="527" spans="3:8" ht="12.75" x14ac:dyDescent="0.2">
      <c r="C527" s="5"/>
      <c r="D527" s="5"/>
      <c r="H527" s="7"/>
    </row>
    <row r="528" spans="3:8" ht="12.75" x14ac:dyDescent="0.2">
      <c r="C528" s="5"/>
      <c r="D528" s="5"/>
      <c r="H528" s="7"/>
    </row>
    <row r="529" spans="3:8" ht="12.75" x14ac:dyDescent="0.2">
      <c r="C529" s="5"/>
      <c r="D529" s="5"/>
      <c r="H529" s="7"/>
    </row>
    <row r="530" spans="3:8" ht="12.75" x14ac:dyDescent="0.2">
      <c r="C530" s="5"/>
      <c r="D530" s="5"/>
      <c r="H530" s="7"/>
    </row>
    <row r="531" spans="3:8" ht="12.75" x14ac:dyDescent="0.2">
      <c r="C531" s="5"/>
      <c r="D531" s="5"/>
      <c r="H531" s="7"/>
    </row>
    <row r="532" spans="3:8" ht="12.75" x14ac:dyDescent="0.2">
      <c r="C532" s="5"/>
      <c r="D532" s="5"/>
      <c r="H532" s="7"/>
    </row>
    <row r="533" spans="3:8" ht="12.75" x14ac:dyDescent="0.2">
      <c r="C533" s="5"/>
      <c r="D533" s="5"/>
      <c r="H533" s="7"/>
    </row>
    <row r="534" spans="3:8" ht="12.75" x14ac:dyDescent="0.2">
      <c r="C534" s="5"/>
      <c r="D534" s="5"/>
      <c r="H534" s="7"/>
    </row>
    <row r="535" spans="3:8" ht="12.75" x14ac:dyDescent="0.2">
      <c r="C535" s="5"/>
      <c r="D535" s="5"/>
      <c r="H535" s="7"/>
    </row>
    <row r="536" spans="3:8" ht="12.75" x14ac:dyDescent="0.2">
      <c r="C536" s="5"/>
      <c r="D536" s="5"/>
      <c r="H536" s="7"/>
    </row>
    <row r="537" spans="3:8" ht="12.75" x14ac:dyDescent="0.2">
      <c r="C537" s="5"/>
      <c r="D537" s="5"/>
      <c r="H537" s="7"/>
    </row>
    <row r="538" spans="3:8" ht="12.75" x14ac:dyDescent="0.2">
      <c r="C538" s="5"/>
      <c r="D538" s="5"/>
      <c r="H538" s="7"/>
    </row>
    <row r="539" spans="3:8" ht="12.75" x14ac:dyDescent="0.2">
      <c r="C539" s="5"/>
      <c r="D539" s="5"/>
      <c r="H539" s="7"/>
    </row>
    <row r="540" spans="3:8" ht="12.75" x14ac:dyDescent="0.2">
      <c r="C540" s="5"/>
      <c r="D540" s="5"/>
      <c r="H540" s="7"/>
    </row>
    <row r="541" spans="3:8" ht="12.75" x14ac:dyDescent="0.2">
      <c r="C541" s="5"/>
      <c r="D541" s="5"/>
      <c r="H541" s="7"/>
    </row>
    <row r="542" spans="3:8" ht="12.75" x14ac:dyDescent="0.2">
      <c r="C542" s="5"/>
      <c r="D542" s="5"/>
      <c r="H542" s="7"/>
    </row>
    <row r="543" spans="3:8" ht="12.75" x14ac:dyDescent="0.2">
      <c r="C543" s="5"/>
      <c r="D543" s="5"/>
      <c r="H543" s="7"/>
    </row>
    <row r="544" spans="3:8" ht="12.75" x14ac:dyDescent="0.2">
      <c r="C544" s="5"/>
      <c r="D544" s="5"/>
      <c r="H544" s="7"/>
    </row>
    <row r="545" spans="3:8" ht="12.75" x14ac:dyDescent="0.2">
      <c r="C545" s="5"/>
      <c r="D545" s="5"/>
      <c r="H545" s="7"/>
    </row>
    <row r="546" spans="3:8" ht="12.75" x14ac:dyDescent="0.2">
      <c r="C546" s="5"/>
      <c r="D546" s="5"/>
      <c r="H546" s="7"/>
    </row>
    <row r="547" spans="3:8" ht="12.75" x14ac:dyDescent="0.2">
      <c r="C547" s="5"/>
      <c r="D547" s="5"/>
      <c r="H547" s="7"/>
    </row>
    <row r="548" spans="3:8" ht="12.75" x14ac:dyDescent="0.2">
      <c r="C548" s="5"/>
      <c r="D548" s="5"/>
      <c r="H548" s="7"/>
    </row>
    <row r="549" spans="3:8" ht="12.75" x14ac:dyDescent="0.2">
      <c r="C549" s="5"/>
      <c r="D549" s="5"/>
      <c r="H549" s="7"/>
    </row>
    <row r="550" spans="3:8" ht="12.75" x14ac:dyDescent="0.2">
      <c r="C550" s="5"/>
      <c r="D550" s="5"/>
      <c r="H550" s="7"/>
    </row>
    <row r="551" spans="3:8" ht="12.75" x14ac:dyDescent="0.2">
      <c r="C551" s="5"/>
      <c r="D551" s="5"/>
      <c r="H551" s="7"/>
    </row>
    <row r="552" spans="3:8" ht="12.75" x14ac:dyDescent="0.2">
      <c r="C552" s="5"/>
      <c r="D552" s="5"/>
      <c r="H552" s="7"/>
    </row>
    <row r="553" spans="3:8" ht="12.75" x14ac:dyDescent="0.2">
      <c r="C553" s="5"/>
      <c r="D553" s="5"/>
      <c r="H553" s="7"/>
    </row>
    <row r="554" spans="3:8" ht="12.75" x14ac:dyDescent="0.2">
      <c r="C554" s="5"/>
      <c r="D554" s="5"/>
      <c r="H554" s="7"/>
    </row>
    <row r="555" spans="3:8" ht="12.75" x14ac:dyDescent="0.2">
      <c r="C555" s="5"/>
      <c r="D555" s="5"/>
      <c r="H555" s="7"/>
    </row>
    <row r="556" spans="3:8" ht="12.75" x14ac:dyDescent="0.2">
      <c r="C556" s="5"/>
      <c r="D556" s="5"/>
      <c r="H556" s="7"/>
    </row>
    <row r="557" spans="3:8" ht="12.75" x14ac:dyDescent="0.2">
      <c r="C557" s="5"/>
      <c r="D557" s="5"/>
      <c r="H557" s="7"/>
    </row>
    <row r="558" spans="3:8" ht="12.75" x14ac:dyDescent="0.2">
      <c r="C558" s="5"/>
      <c r="D558" s="5"/>
      <c r="H558" s="7"/>
    </row>
    <row r="559" spans="3:8" ht="12.75" x14ac:dyDescent="0.2">
      <c r="C559" s="5"/>
      <c r="D559" s="5"/>
      <c r="H559" s="7"/>
    </row>
    <row r="560" spans="3:8" ht="12.75" x14ac:dyDescent="0.2">
      <c r="C560" s="5"/>
      <c r="D560" s="5"/>
      <c r="H560" s="7"/>
    </row>
    <row r="561" spans="3:8" ht="12.75" x14ac:dyDescent="0.2">
      <c r="C561" s="5"/>
      <c r="D561" s="5"/>
      <c r="H561" s="7"/>
    </row>
    <row r="562" spans="3:8" ht="12.75" x14ac:dyDescent="0.2">
      <c r="C562" s="5"/>
      <c r="D562" s="5"/>
      <c r="H562" s="7"/>
    </row>
    <row r="563" spans="3:8" ht="12.75" x14ac:dyDescent="0.2">
      <c r="C563" s="5"/>
      <c r="D563" s="5"/>
      <c r="H563" s="7"/>
    </row>
    <row r="564" spans="3:8" ht="12.75" x14ac:dyDescent="0.2">
      <c r="C564" s="5"/>
      <c r="D564" s="5"/>
      <c r="H564" s="7"/>
    </row>
    <row r="565" spans="3:8" ht="12.75" x14ac:dyDescent="0.2">
      <c r="C565" s="5"/>
      <c r="D565" s="5"/>
      <c r="H565" s="7"/>
    </row>
    <row r="566" spans="3:8" ht="12.75" x14ac:dyDescent="0.2">
      <c r="C566" s="5"/>
      <c r="D566" s="5"/>
      <c r="H566" s="7"/>
    </row>
    <row r="567" spans="3:8" ht="12.75" x14ac:dyDescent="0.2">
      <c r="C567" s="5"/>
      <c r="D567" s="5"/>
      <c r="H567" s="7"/>
    </row>
    <row r="568" spans="3:8" ht="12.75" x14ac:dyDescent="0.2">
      <c r="C568" s="5"/>
      <c r="D568" s="5"/>
      <c r="H568" s="7"/>
    </row>
    <row r="569" spans="3:8" ht="12.75" x14ac:dyDescent="0.2">
      <c r="C569" s="5"/>
      <c r="D569" s="5"/>
      <c r="H569" s="7"/>
    </row>
    <row r="570" spans="3:8" ht="12.75" x14ac:dyDescent="0.2">
      <c r="C570" s="5"/>
      <c r="D570" s="5"/>
      <c r="H570" s="7"/>
    </row>
    <row r="571" spans="3:8" ht="12.75" x14ac:dyDescent="0.2">
      <c r="C571" s="5"/>
      <c r="D571" s="5"/>
      <c r="H571" s="7"/>
    </row>
    <row r="572" spans="3:8" ht="12.75" x14ac:dyDescent="0.2">
      <c r="C572" s="5"/>
      <c r="D572" s="5"/>
      <c r="H572" s="7"/>
    </row>
    <row r="573" spans="3:8" ht="12.75" x14ac:dyDescent="0.2">
      <c r="C573" s="5"/>
      <c r="D573" s="5"/>
      <c r="H573" s="7"/>
    </row>
    <row r="574" spans="3:8" ht="12.75" x14ac:dyDescent="0.2">
      <c r="C574" s="5"/>
      <c r="D574" s="5"/>
      <c r="H574" s="7"/>
    </row>
    <row r="575" spans="3:8" ht="12.75" x14ac:dyDescent="0.2">
      <c r="C575" s="5"/>
      <c r="D575" s="5"/>
      <c r="H575" s="7"/>
    </row>
    <row r="576" spans="3:8" ht="12.75" x14ac:dyDescent="0.2">
      <c r="C576" s="5"/>
      <c r="D576" s="5"/>
      <c r="H576" s="7"/>
    </row>
    <row r="577" spans="3:8" ht="12.75" x14ac:dyDescent="0.2">
      <c r="C577" s="5"/>
      <c r="D577" s="5"/>
      <c r="H577" s="7"/>
    </row>
    <row r="578" spans="3:8" ht="12.75" x14ac:dyDescent="0.2">
      <c r="C578" s="5"/>
      <c r="D578" s="5"/>
      <c r="H578" s="7"/>
    </row>
    <row r="579" spans="3:8" ht="12.75" x14ac:dyDescent="0.2">
      <c r="C579" s="5"/>
      <c r="D579" s="5"/>
      <c r="H579" s="7"/>
    </row>
    <row r="580" spans="3:8" ht="12.75" x14ac:dyDescent="0.2">
      <c r="C580" s="5"/>
      <c r="D580" s="5"/>
      <c r="H580" s="7"/>
    </row>
    <row r="581" spans="3:8" ht="12.75" x14ac:dyDescent="0.2">
      <c r="C581" s="5"/>
      <c r="D581" s="5"/>
      <c r="H581" s="7"/>
    </row>
    <row r="582" spans="3:8" ht="12.75" x14ac:dyDescent="0.2">
      <c r="C582" s="5"/>
      <c r="D582" s="5"/>
      <c r="H582" s="7"/>
    </row>
    <row r="583" spans="3:8" ht="12.75" x14ac:dyDescent="0.2">
      <c r="C583" s="5"/>
      <c r="D583" s="5"/>
      <c r="H583" s="7"/>
    </row>
    <row r="584" spans="3:8" ht="12.75" x14ac:dyDescent="0.2">
      <c r="C584" s="5"/>
      <c r="D584" s="5"/>
      <c r="H584" s="7"/>
    </row>
    <row r="585" spans="3:8" ht="12.75" x14ac:dyDescent="0.2">
      <c r="C585" s="5"/>
      <c r="D585" s="5"/>
      <c r="H585" s="7"/>
    </row>
    <row r="586" spans="3:8" ht="12.75" x14ac:dyDescent="0.2">
      <c r="C586" s="5"/>
      <c r="D586" s="5"/>
      <c r="H586" s="7"/>
    </row>
    <row r="587" spans="3:8" ht="12.75" x14ac:dyDescent="0.2">
      <c r="C587" s="5"/>
      <c r="D587" s="5"/>
      <c r="H587" s="7"/>
    </row>
    <row r="588" spans="3:8" ht="12.75" x14ac:dyDescent="0.2">
      <c r="C588" s="5"/>
      <c r="D588" s="5"/>
      <c r="H588" s="7"/>
    </row>
    <row r="589" spans="3:8" ht="12.75" x14ac:dyDescent="0.2">
      <c r="C589" s="5"/>
      <c r="D589" s="5"/>
      <c r="H589" s="7"/>
    </row>
    <row r="590" spans="3:8" ht="12.75" x14ac:dyDescent="0.2">
      <c r="C590" s="5"/>
      <c r="D590" s="5"/>
      <c r="H590" s="7"/>
    </row>
    <row r="591" spans="3:8" ht="12.75" x14ac:dyDescent="0.2">
      <c r="C591" s="5"/>
      <c r="D591" s="5"/>
      <c r="H591" s="7"/>
    </row>
    <row r="592" spans="3:8" ht="12.75" x14ac:dyDescent="0.2">
      <c r="C592" s="5"/>
      <c r="D592" s="5"/>
      <c r="H592" s="7"/>
    </row>
    <row r="593" spans="3:8" ht="12.75" x14ac:dyDescent="0.2">
      <c r="C593" s="5"/>
      <c r="D593" s="5"/>
      <c r="H593" s="7"/>
    </row>
    <row r="594" spans="3:8" ht="12.75" x14ac:dyDescent="0.2">
      <c r="C594" s="5"/>
      <c r="D594" s="5"/>
      <c r="H594" s="7"/>
    </row>
    <row r="595" spans="3:8" ht="12.75" x14ac:dyDescent="0.2">
      <c r="C595" s="5"/>
      <c r="D595" s="5"/>
      <c r="H595" s="7"/>
    </row>
    <row r="596" spans="3:8" ht="12.75" x14ac:dyDescent="0.2">
      <c r="C596" s="5"/>
      <c r="D596" s="5"/>
      <c r="H596" s="7"/>
    </row>
    <row r="597" spans="3:8" ht="12.75" x14ac:dyDescent="0.2">
      <c r="C597" s="5"/>
      <c r="D597" s="5"/>
      <c r="H597" s="7"/>
    </row>
    <row r="598" spans="3:8" ht="12.75" x14ac:dyDescent="0.2">
      <c r="C598" s="5"/>
      <c r="D598" s="5"/>
      <c r="H598" s="7"/>
    </row>
    <row r="599" spans="3:8" ht="12.75" x14ac:dyDescent="0.2">
      <c r="C599" s="5"/>
      <c r="D599" s="5"/>
      <c r="H599" s="7"/>
    </row>
    <row r="600" spans="3:8" ht="12.75" x14ac:dyDescent="0.2">
      <c r="C600" s="5"/>
      <c r="D600" s="5"/>
      <c r="H600" s="7"/>
    </row>
    <row r="601" spans="3:8" ht="12.75" x14ac:dyDescent="0.2">
      <c r="C601" s="5"/>
      <c r="D601" s="5"/>
      <c r="H601" s="7"/>
    </row>
    <row r="602" spans="3:8" ht="12.75" x14ac:dyDescent="0.2">
      <c r="C602" s="5"/>
      <c r="D602" s="5"/>
      <c r="H602" s="7"/>
    </row>
    <row r="603" spans="3:8" ht="12.75" x14ac:dyDescent="0.2">
      <c r="C603" s="5"/>
      <c r="D603" s="5"/>
      <c r="H603" s="7"/>
    </row>
    <row r="604" spans="3:8" ht="12.75" x14ac:dyDescent="0.2">
      <c r="C604" s="5"/>
      <c r="D604" s="5"/>
      <c r="H604" s="7"/>
    </row>
    <row r="605" spans="3:8" ht="12.75" x14ac:dyDescent="0.2">
      <c r="C605" s="5"/>
      <c r="D605" s="5"/>
      <c r="H605" s="7"/>
    </row>
    <row r="606" spans="3:8" ht="12.75" x14ac:dyDescent="0.2">
      <c r="C606" s="5"/>
      <c r="D606" s="5"/>
      <c r="H606" s="7"/>
    </row>
    <row r="607" spans="3:8" ht="12.75" x14ac:dyDescent="0.2">
      <c r="C607" s="5"/>
      <c r="D607" s="5"/>
      <c r="H607" s="7"/>
    </row>
    <row r="608" spans="3:8" ht="12.75" x14ac:dyDescent="0.2">
      <c r="C608" s="5"/>
      <c r="D608" s="5"/>
      <c r="H608" s="7"/>
    </row>
    <row r="609" spans="3:8" ht="12.75" x14ac:dyDescent="0.2">
      <c r="C609" s="5"/>
      <c r="D609" s="5"/>
      <c r="H609" s="7"/>
    </row>
    <row r="610" spans="3:8" ht="12.75" x14ac:dyDescent="0.2">
      <c r="C610" s="5"/>
      <c r="D610" s="5"/>
      <c r="H610" s="7"/>
    </row>
    <row r="611" spans="3:8" ht="12.75" x14ac:dyDescent="0.2">
      <c r="C611" s="5"/>
      <c r="D611" s="5"/>
      <c r="H611" s="7"/>
    </row>
    <row r="612" spans="3:8" ht="12.75" x14ac:dyDescent="0.2">
      <c r="C612" s="5"/>
      <c r="D612" s="5"/>
      <c r="H612" s="7"/>
    </row>
    <row r="613" spans="3:8" ht="12.75" x14ac:dyDescent="0.2">
      <c r="C613" s="5"/>
      <c r="D613" s="5"/>
      <c r="H613" s="7"/>
    </row>
    <row r="614" spans="3:8" ht="12.75" x14ac:dyDescent="0.2">
      <c r="C614" s="5"/>
      <c r="D614" s="5"/>
      <c r="H614" s="7"/>
    </row>
    <row r="615" spans="3:8" ht="12.75" x14ac:dyDescent="0.2">
      <c r="C615" s="5"/>
      <c r="D615" s="5"/>
      <c r="H615" s="7"/>
    </row>
    <row r="616" spans="3:8" ht="12.75" x14ac:dyDescent="0.2">
      <c r="C616" s="5"/>
      <c r="D616" s="5"/>
      <c r="H616" s="7"/>
    </row>
    <row r="617" spans="3:8" ht="12.75" x14ac:dyDescent="0.2">
      <c r="C617" s="5"/>
      <c r="D617" s="5"/>
      <c r="H617" s="7"/>
    </row>
    <row r="618" spans="3:8" ht="12.75" x14ac:dyDescent="0.2">
      <c r="C618" s="5"/>
      <c r="D618" s="5"/>
      <c r="H618" s="7"/>
    </row>
    <row r="619" spans="3:8" ht="12.75" x14ac:dyDescent="0.2">
      <c r="C619" s="5"/>
      <c r="D619" s="5"/>
      <c r="H619" s="7"/>
    </row>
    <row r="620" spans="3:8" ht="12.75" x14ac:dyDescent="0.2">
      <c r="C620" s="5"/>
      <c r="D620" s="5"/>
      <c r="H620" s="7"/>
    </row>
    <row r="621" spans="3:8" ht="12.75" x14ac:dyDescent="0.2">
      <c r="C621" s="5"/>
      <c r="D621" s="5"/>
      <c r="H621" s="7"/>
    </row>
    <row r="622" spans="3:8" ht="12.75" x14ac:dyDescent="0.2">
      <c r="C622" s="5"/>
      <c r="D622" s="5"/>
      <c r="H622" s="7"/>
    </row>
    <row r="623" spans="3:8" ht="12.75" x14ac:dyDescent="0.2">
      <c r="C623" s="5"/>
      <c r="D623" s="5"/>
      <c r="H623" s="7"/>
    </row>
    <row r="624" spans="3:8" ht="12.75" x14ac:dyDescent="0.2">
      <c r="C624" s="5"/>
      <c r="D624" s="5"/>
      <c r="H624" s="7"/>
    </row>
    <row r="625" spans="3:8" ht="12.75" x14ac:dyDescent="0.2">
      <c r="C625" s="5"/>
      <c r="D625" s="5"/>
      <c r="H625" s="7"/>
    </row>
    <row r="626" spans="3:8" ht="12.75" x14ac:dyDescent="0.2">
      <c r="C626" s="5"/>
      <c r="D626" s="5"/>
      <c r="H626" s="7"/>
    </row>
    <row r="627" spans="3:8" ht="12.75" x14ac:dyDescent="0.2">
      <c r="C627" s="5"/>
      <c r="D627" s="5"/>
      <c r="H627" s="7"/>
    </row>
    <row r="628" spans="3:8" ht="12.75" x14ac:dyDescent="0.2">
      <c r="C628" s="5"/>
      <c r="D628" s="5"/>
      <c r="H628" s="7"/>
    </row>
    <row r="629" spans="3:8" ht="12.75" x14ac:dyDescent="0.2">
      <c r="C629" s="5"/>
      <c r="D629" s="5"/>
      <c r="H629" s="7"/>
    </row>
    <row r="630" spans="3:8" ht="12.75" x14ac:dyDescent="0.2">
      <c r="C630" s="5"/>
      <c r="D630" s="5"/>
      <c r="H630" s="7"/>
    </row>
    <row r="631" spans="3:8" ht="12.75" x14ac:dyDescent="0.2">
      <c r="C631" s="5"/>
      <c r="D631" s="5"/>
      <c r="H631" s="7"/>
    </row>
    <row r="632" spans="3:8" ht="12.75" x14ac:dyDescent="0.2">
      <c r="C632" s="5"/>
      <c r="D632" s="5"/>
      <c r="H632" s="7"/>
    </row>
    <row r="633" spans="3:8" ht="12.75" x14ac:dyDescent="0.2">
      <c r="C633" s="5"/>
      <c r="D633" s="5"/>
      <c r="H633" s="7"/>
    </row>
    <row r="634" spans="3:8" ht="12.75" x14ac:dyDescent="0.2">
      <c r="C634" s="5"/>
      <c r="D634" s="5"/>
      <c r="H634" s="7"/>
    </row>
    <row r="635" spans="3:8" ht="12.75" x14ac:dyDescent="0.2">
      <c r="C635" s="5"/>
      <c r="D635" s="5"/>
      <c r="H635" s="7"/>
    </row>
    <row r="636" spans="3:8" ht="12.75" x14ac:dyDescent="0.2">
      <c r="C636" s="5"/>
      <c r="D636" s="5"/>
      <c r="H636" s="7"/>
    </row>
    <row r="637" spans="3:8" ht="12.75" x14ac:dyDescent="0.2">
      <c r="C637" s="5"/>
      <c r="D637" s="5"/>
      <c r="H637" s="7"/>
    </row>
    <row r="638" spans="3:8" ht="12.75" x14ac:dyDescent="0.2">
      <c r="C638" s="5"/>
      <c r="D638" s="5"/>
      <c r="H638" s="7"/>
    </row>
    <row r="639" spans="3:8" ht="12.75" x14ac:dyDescent="0.2">
      <c r="C639" s="5"/>
      <c r="D639" s="5"/>
      <c r="H639" s="7"/>
    </row>
    <row r="640" spans="3:8" ht="12.75" x14ac:dyDescent="0.2">
      <c r="C640" s="5"/>
      <c r="D640" s="5"/>
      <c r="H640" s="7"/>
    </row>
    <row r="641" spans="3:8" ht="12.75" x14ac:dyDescent="0.2">
      <c r="C641" s="5"/>
      <c r="D641" s="5"/>
      <c r="H641" s="7"/>
    </row>
    <row r="642" spans="3:8" ht="12.75" x14ac:dyDescent="0.2">
      <c r="C642" s="5"/>
      <c r="D642" s="5"/>
      <c r="H642" s="7"/>
    </row>
    <row r="643" spans="3:8" ht="12.75" x14ac:dyDescent="0.2">
      <c r="C643" s="5"/>
      <c r="D643" s="5"/>
      <c r="H643" s="7"/>
    </row>
    <row r="644" spans="3:8" ht="12.75" x14ac:dyDescent="0.2">
      <c r="C644" s="5"/>
      <c r="D644" s="5"/>
      <c r="H644" s="7"/>
    </row>
    <row r="645" spans="3:8" ht="12.75" x14ac:dyDescent="0.2">
      <c r="C645" s="5"/>
      <c r="D645" s="5"/>
      <c r="H645" s="7"/>
    </row>
    <row r="646" spans="3:8" ht="12.75" x14ac:dyDescent="0.2">
      <c r="C646" s="5"/>
      <c r="D646" s="5"/>
      <c r="H646" s="7"/>
    </row>
    <row r="647" spans="3:8" ht="12.75" x14ac:dyDescent="0.2">
      <c r="C647" s="5"/>
      <c r="D647" s="5"/>
      <c r="H647" s="7"/>
    </row>
    <row r="648" spans="3:8" ht="12.75" x14ac:dyDescent="0.2">
      <c r="C648" s="5"/>
      <c r="D648" s="5"/>
      <c r="H648" s="7"/>
    </row>
    <row r="649" spans="3:8" ht="12.75" x14ac:dyDescent="0.2">
      <c r="C649" s="5"/>
      <c r="D649" s="5"/>
      <c r="H649" s="7"/>
    </row>
    <row r="650" spans="3:8" ht="12.75" x14ac:dyDescent="0.2">
      <c r="C650" s="5"/>
      <c r="D650" s="5"/>
      <c r="H650" s="7"/>
    </row>
    <row r="651" spans="3:8" ht="12.75" x14ac:dyDescent="0.2">
      <c r="C651" s="5"/>
      <c r="D651" s="5"/>
      <c r="H651" s="7"/>
    </row>
    <row r="652" spans="3:8" ht="12.75" x14ac:dyDescent="0.2">
      <c r="C652" s="5"/>
      <c r="D652" s="5"/>
      <c r="H652" s="7"/>
    </row>
    <row r="653" spans="3:8" ht="12.75" x14ac:dyDescent="0.2">
      <c r="C653" s="5"/>
      <c r="D653" s="5"/>
      <c r="H653" s="7"/>
    </row>
    <row r="654" spans="3:8" ht="12.75" x14ac:dyDescent="0.2">
      <c r="C654" s="5"/>
      <c r="D654" s="5"/>
      <c r="H654" s="7"/>
    </row>
    <row r="655" spans="3:8" ht="12.75" x14ac:dyDescent="0.2">
      <c r="C655" s="5"/>
      <c r="D655" s="5"/>
      <c r="H655" s="7"/>
    </row>
    <row r="656" spans="3:8" ht="12.75" x14ac:dyDescent="0.2">
      <c r="C656" s="5"/>
      <c r="D656" s="5"/>
      <c r="H656" s="7"/>
    </row>
    <row r="657" spans="3:8" ht="12.75" x14ac:dyDescent="0.2">
      <c r="C657" s="5"/>
      <c r="D657" s="5"/>
      <c r="H657" s="7"/>
    </row>
    <row r="658" spans="3:8" ht="12.75" x14ac:dyDescent="0.2">
      <c r="C658" s="5"/>
      <c r="D658" s="5"/>
      <c r="H658" s="7"/>
    </row>
    <row r="659" spans="3:8" ht="12.75" x14ac:dyDescent="0.2">
      <c r="C659" s="5"/>
      <c r="D659" s="5"/>
      <c r="H659" s="7"/>
    </row>
    <row r="660" spans="3:8" ht="12.75" x14ac:dyDescent="0.2">
      <c r="C660" s="5"/>
      <c r="D660" s="5"/>
      <c r="H660" s="7"/>
    </row>
    <row r="661" spans="3:8" ht="12.75" x14ac:dyDescent="0.2">
      <c r="C661" s="5"/>
      <c r="D661" s="5"/>
      <c r="H661" s="7"/>
    </row>
    <row r="662" spans="3:8" ht="12.75" x14ac:dyDescent="0.2">
      <c r="C662" s="5"/>
      <c r="D662" s="5"/>
      <c r="H662" s="7"/>
    </row>
    <row r="663" spans="3:8" ht="12.75" x14ac:dyDescent="0.2">
      <c r="C663" s="5"/>
      <c r="D663" s="5"/>
      <c r="H663" s="7"/>
    </row>
    <row r="664" spans="3:8" ht="12.75" x14ac:dyDescent="0.2">
      <c r="C664" s="5"/>
      <c r="D664" s="5"/>
      <c r="H664" s="7"/>
    </row>
    <row r="665" spans="3:8" ht="12.75" x14ac:dyDescent="0.2">
      <c r="C665" s="5"/>
      <c r="D665" s="5"/>
      <c r="H665" s="7"/>
    </row>
    <row r="666" spans="3:8" ht="12.75" x14ac:dyDescent="0.2">
      <c r="C666" s="5"/>
      <c r="D666" s="5"/>
      <c r="H666" s="7"/>
    </row>
    <row r="667" spans="3:8" ht="12.75" x14ac:dyDescent="0.2">
      <c r="C667" s="5"/>
      <c r="D667" s="5"/>
      <c r="H667" s="7"/>
    </row>
    <row r="668" spans="3:8" ht="12.75" x14ac:dyDescent="0.2">
      <c r="C668" s="5"/>
      <c r="D668" s="5"/>
      <c r="H668" s="7"/>
    </row>
    <row r="669" spans="3:8" ht="12.75" x14ac:dyDescent="0.2">
      <c r="C669" s="5"/>
      <c r="D669" s="5"/>
      <c r="H669" s="7"/>
    </row>
    <row r="670" spans="3:8" ht="12.75" x14ac:dyDescent="0.2">
      <c r="C670" s="5"/>
      <c r="D670" s="5"/>
      <c r="H670" s="7"/>
    </row>
    <row r="671" spans="3:8" ht="12.75" x14ac:dyDescent="0.2">
      <c r="C671" s="5"/>
      <c r="D671" s="5"/>
      <c r="H671" s="7"/>
    </row>
    <row r="672" spans="3:8" ht="12.75" x14ac:dyDescent="0.2">
      <c r="C672" s="5"/>
      <c r="D672" s="5"/>
      <c r="H672" s="7"/>
    </row>
    <row r="673" spans="3:8" ht="12.75" x14ac:dyDescent="0.2">
      <c r="C673" s="5"/>
      <c r="D673" s="5"/>
      <c r="H673" s="7"/>
    </row>
    <row r="674" spans="3:8" ht="12.75" x14ac:dyDescent="0.2">
      <c r="C674" s="5"/>
      <c r="D674" s="5"/>
      <c r="H674" s="7"/>
    </row>
    <row r="675" spans="3:8" ht="12.75" x14ac:dyDescent="0.2">
      <c r="C675" s="5"/>
      <c r="D675" s="5"/>
      <c r="H675" s="7"/>
    </row>
    <row r="676" spans="3:8" ht="12.75" x14ac:dyDescent="0.2">
      <c r="C676" s="5"/>
      <c r="D676" s="5"/>
      <c r="H676" s="7"/>
    </row>
    <row r="677" spans="3:8" ht="12.75" x14ac:dyDescent="0.2">
      <c r="C677" s="5"/>
      <c r="D677" s="5"/>
      <c r="H677" s="7"/>
    </row>
    <row r="678" spans="3:8" ht="12.75" x14ac:dyDescent="0.2">
      <c r="C678" s="5"/>
      <c r="D678" s="5"/>
      <c r="H678" s="7"/>
    </row>
    <row r="679" spans="3:8" ht="12.75" x14ac:dyDescent="0.2">
      <c r="C679" s="5"/>
      <c r="D679" s="5"/>
      <c r="H679" s="7"/>
    </row>
    <row r="680" spans="3:8" ht="12.75" x14ac:dyDescent="0.2">
      <c r="C680" s="5"/>
      <c r="D680" s="5"/>
      <c r="H680" s="7"/>
    </row>
    <row r="681" spans="3:8" ht="12.75" x14ac:dyDescent="0.2">
      <c r="C681" s="5"/>
      <c r="D681" s="5"/>
      <c r="H681" s="7"/>
    </row>
    <row r="682" spans="3:8" ht="12.75" x14ac:dyDescent="0.2">
      <c r="C682" s="5"/>
      <c r="D682" s="5"/>
      <c r="H682" s="7"/>
    </row>
    <row r="683" spans="3:8" ht="12.75" x14ac:dyDescent="0.2">
      <c r="C683" s="5"/>
      <c r="D683" s="5"/>
      <c r="H683" s="7"/>
    </row>
    <row r="684" spans="3:8" ht="12.75" x14ac:dyDescent="0.2">
      <c r="C684" s="5"/>
      <c r="D684" s="5"/>
      <c r="H684" s="7"/>
    </row>
    <row r="685" spans="3:8" ht="12.75" x14ac:dyDescent="0.2">
      <c r="C685" s="5"/>
      <c r="D685" s="5"/>
      <c r="H685" s="7"/>
    </row>
    <row r="686" spans="3:8" ht="12.75" x14ac:dyDescent="0.2">
      <c r="C686" s="5"/>
      <c r="D686" s="5"/>
      <c r="H686" s="7"/>
    </row>
    <row r="687" spans="3:8" ht="12.75" x14ac:dyDescent="0.2">
      <c r="C687" s="5"/>
      <c r="D687" s="5"/>
      <c r="H687" s="7"/>
    </row>
    <row r="688" spans="3:8" ht="12.75" x14ac:dyDescent="0.2">
      <c r="C688" s="5"/>
      <c r="D688" s="5"/>
      <c r="H688" s="7"/>
    </row>
    <row r="689" spans="3:8" ht="12.75" x14ac:dyDescent="0.2">
      <c r="C689" s="5"/>
      <c r="D689" s="5"/>
      <c r="H689" s="7"/>
    </row>
    <row r="690" spans="3:8" ht="12.75" x14ac:dyDescent="0.2">
      <c r="C690" s="5"/>
      <c r="D690" s="5"/>
      <c r="H690" s="7"/>
    </row>
    <row r="691" spans="3:8" ht="12.75" x14ac:dyDescent="0.2">
      <c r="C691" s="5"/>
      <c r="D691" s="5"/>
      <c r="H691" s="7"/>
    </row>
    <row r="692" spans="3:8" ht="12.75" x14ac:dyDescent="0.2">
      <c r="C692" s="5"/>
      <c r="D692" s="5"/>
      <c r="H692" s="7"/>
    </row>
    <row r="693" spans="3:8" ht="12.75" x14ac:dyDescent="0.2">
      <c r="C693" s="5"/>
      <c r="D693" s="5"/>
      <c r="H693" s="7"/>
    </row>
    <row r="694" spans="3:8" ht="12.75" x14ac:dyDescent="0.2">
      <c r="C694" s="5"/>
      <c r="D694" s="5"/>
      <c r="H694" s="7"/>
    </row>
    <row r="695" spans="3:8" ht="12.75" x14ac:dyDescent="0.2">
      <c r="C695" s="5"/>
      <c r="D695" s="5"/>
      <c r="H695" s="7"/>
    </row>
    <row r="696" spans="3:8" ht="12.75" x14ac:dyDescent="0.2">
      <c r="C696" s="5"/>
      <c r="D696" s="5"/>
      <c r="H696" s="7"/>
    </row>
    <row r="697" spans="3:8" ht="12.75" x14ac:dyDescent="0.2">
      <c r="C697" s="5"/>
      <c r="D697" s="5"/>
      <c r="H697" s="7"/>
    </row>
    <row r="698" spans="3:8" ht="12.75" x14ac:dyDescent="0.2">
      <c r="C698" s="5"/>
      <c r="D698" s="5"/>
      <c r="H698" s="7"/>
    </row>
    <row r="699" spans="3:8" ht="12.75" x14ac:dyDescent="0.2">
      <c r="C699" s="5"/>
      <c r="D699" s="5"/>
      <c r="H699" s="7"/>
    </row>
    <row r="700" spans="3:8" ht="12.75" x14ac:dyDescent="0.2">
      <c r="C700" s="5"/>
      <c r="D700" s="5"/>
      <c r="H700" s="7"/>
    </row>
    <row r="701" spans="3:8" ht="12.75" x14ac:dyDescent="0.2">
      <c r="C701" s="5"/>
      <c r="D701" s="5"/>
      <c r="H701" s="7"/>
    </row>
    <row r="702" spans="3:8" ht="12.75" x14ac:dyDescent="0.2">
      <c r="C702" s="5"/>
      <c r="D702" s="5"/>
      <c r="H702" s="7"/>
    </row>
    <row r="703" spans="3:8" ht="12.75" x14ac:dyDescent="0.2">
      <c r="C703" s="5"/>
      <c r="D703" s="5"/>
      <c r="H703" s="7"/>
    </row>
    <row r="704" spans="3:8" ht="12.75" x14ac:dyDescent="0.2">
      <c r="C704" s="5"/>
      <c r="D704" s="5"/>
      <c r="H704" s="7"/>
    </row>
    <row r="705" spans="3:8" ht="12.75" x14ac:dyDescent="0.2">
      <c r="C705" s="5"/>
      <c r="D705" s="5"/>
      <c r="H705" s="7"/>
    </row>
    <row r="706" spans="3:8" ht="12.75" x14ac:dyDescent="0.2">
      <c r="C706" s="5"/>
      <c r="D706" s="5"/>
      <c r="H706" s="7"/>
    </row>
    <row r="707" spans="3:8" ht="12.75" x14ac:dyDescent="0.2">
      <c r="C707" s="5"/>
      <c r="D707" s="5"/>
      <c r="H707" s="7"/>
    </row>
    <row r="708" spans="3:8" ht="12.75" x14ac:dyDescent="0.2">
      <c r="C708" s="5"/>
      <c r="D708" s="5"/>
      <c r="H708" s="7"/>
    </row>
    <row r="709" spans="3:8" ht="12.75" x14ac:dyDescent="0.2">
      <c r="C709" s="5"/>
      <c r="D709" s="5"/>
      <c r="H709" s="7"/>
    </row>
    <row r="710" spans="3:8" ht="12.75" x14ac:dyDescent="0.2">
      <c r="C710" s="5"/>
      <c r="D710" s="5"/>
      <c r="H710" s="7"/>
    </row>
    <row r="711" spans="3:8" ht="12.75" x14ac:dyDescent="0.2">
      <c r="C711" s="5"/>
      <c r="D711" s="5"/>
      <c r="H711" s="7"/>
    </row>
    <row r="712" spans="3:8" ht="12.75" x14ac:dyDescent="0.2">
      <c r="C712" s="5"/>
      <c r="D712" s="5"/>
      <c r="H712" s="7"/>
    </row>
    <row r="713" spans="3:8" ht="12.75" x14ac:dyDescent="0.2">
      <c r="C713" s="5"/>
      <c r="D713" s="5"/>
      <c r="H713" s="7"/>
    </row>
    <row r="714" spans="3:8" ht="12.75" x14ac:dyDescent="0.2">
      <c r="C714" s="5"/>
      <c r="D714" s="5"/>
      <c r="H714" s="7"/>
    </row>
    <row r="715" spans="3:8" ht="12.75" x14ac:dyDescent="0.2">
      <c r="C715" s="5"/>
      <c r="D715" s="5"/>
      <c r="H715" s="7"/>
    </row>
    <row r="716" spans="3:8" ht="12.75" x14ac:dyDescent="0.2">
      <c r="C716" s="5"/>
      <c r="D716" s="5"/>
      <c r="H716" s="7"/>
    </row>
    <row r="717" spans="3:8" ht="12.75" x14ac:dyDescent="0.2">
      <c r="C717" s="5"/>
      <c r="D717" s="5"/>
      <c r="H717" s="7"/>
    </row>
    <row r="718" spans="3:8" ht="12.75" x14ac:dyDescent="0.2">
      <c r="C718" s="5"/>
      <c r="D718" s="5"/>
      <c r="H718" s="7"/>
    </row>
    <row r="719" spans="3:8" ht="12.75" x14ac:dyDescent="0.2">
      <c r="C719" s="5"/>
      <c r="D719" s="5"/>
      <c r="H719" s="7"/>
    </row>
    <row r="720" spans="3:8" ht="12.75" x14ac:dyDescent="0.2">
      <c r="C720" s="5"/>
      <c r="D720" s="5"/>
      <c r="H720" s="7"/>
    </row>
    <row r="721" spans="3:8" ht="12.75" x14ac:dyDescent="0.2">
      <c r="C721" s="5"/>
      <c r="D721" s="5"/>
      <c r="H721" s="7"/>
    </row>
    <row r="722" spans="3:8" ht="12.75" x14ac:dyDescent="0.2">
      <c r="C722" s="5"/>
      <c r="D722" s="5"/>
      <c r="H722" s="7"/>
    </row>
    <row r="723" spans="3:8" ht="12.75" x14ac:dyDescent="0.2">
      <c r="C723" s="5"/>
      <c r="D723" s="5"/>
      <c r="H723" s="7"/>
    </row>
    <row r="724" spans="3:8" ht="12.75" x14ac:dyDescent="0.2">
      <c r="C724" s="5"/>
      <c r="D724" s="5"/>
      <c r="H724" s="7"/>
    </row>
    <row r="725" spans="3:8" ht="12.75" x14ac:dyDescent="0.2">
      <c r="C725" s="5"/>
      <c r="D725" s="5"/>
      <c r="H725" s="7"/>
    </row>
    <row r="726" spans="3:8" ht="12.75" x14ac:dyDescent="0.2">
      <c r="C726" s="5"/>
      <c r="D726" s="5"/>
      <c r="H726" s="7"/>
    </row>
    <row r="727" spans="3:8" ht="12.75" x14ac:dyDescent="0.2">
      <c r="C727" s="5"/>
      <c r="D727" s="5"/>
      <c r="H727" s="7"/>
    </row>
    <row r="728" spans="3:8" ht="12.75" x14ac:dyDescent="0.2">
      <c r="C728" s="5"/>
      <c r="D728" s="5"/>
      <c r="H728" s="7"/>
    </row>
    <row r="729" spans="3:8" ht="12.75" x14ac:dyDescent="0.2">
      <c r="C729" s="5"/>
      <c r="D729" s="5"/>
      <c r="H729" s="7"/>
    </row>
    <row r="730" spans="3:8" ht="12.75" x14ac:dyDescent="0.2">
      <c r="C730" s="5"/>
      <c r="D730" s="5"/>
      <c r="H730" s="7"/>
    </row>
    <row r="731" spans="3:8" ht="12.75" x14ac:dyDescent="0.2">
      <c r="C731" s="5"/>
      <c r="D731" s="5"/>
      <c r="H731" s="7"/>
    </row>
    <row r="732" spans="3:8" ht="12.75" x14ac:dyDescent="0.2">
      <c r="C732" s="5"/>
      <c r="D732" s="5"/>
      <c r="H732" s="7"/>
    </row>
    <row r="733" spans="3:8" ht="12.75" x14ac:dyDescent="0.2">
      <c r="C733" s="5"/>
      <c r="D733" s="5"/>
      <c r="H733" s="7"/>
    </row>
    <row r="734" spans="3:8" ht="12.75" x14ac:dyDescent="0.2">
      <c r="C734" s="5"/>
      <c r="D734" s="5"/>
      <c r="H734" s="7"/>
    </row>
    <row r="735" spans="3:8" ht="12.75" x14ac:dyDescent="0.2">
      <c r="C735" s="5"/>
      <c r="D735" s="5"/>
      <c r="H735" s="7"/>
    </row>
    <row r="736" spans="3:8" ht="12.75" x14ac:dyDescent="0.2">
      <c r="C736" s="5"/>
      <c r="D736" s="5"/>
      <c r="H736" s="7"/>
    </row>
    <row r="737" spans="3:8" ht="12.75" x14ac:dyDescent="0.2">
      <c r="C737" s="5"/>
      <c r="D737" s="5"/>
      <c r="H737" s="7"/>
    </row>
    <row r="738" spans="3:8" ht="12.75" x14ac:dyDescent="0.2">
      <c r="C738" s="5"/>
      <c r="D738" s="5"/>
      <c r="H738" s="7"/>
    </row>
    <row r="739" spans="3:8" ht="12.75" x14ac:dyDescent="0.2">
      <c r="C739" s="5"/>
      <c r="D739" s="5"/>
      <c r="H739" s="7"/>
    </row>
    <row r="740" spans="3:8" ht="12.75" x14ac:dyDescent="0.2">
      <c r="C740" s="5"/>
      <c r="D740" s="5"/>
      <c r="H740" s="7"/>
    </row>
    <row r="741" spans="3:8" ht="12.75" x14ac:dyDescent="0.2">
      <c r="C741" s="5"/>
      <c r="D741" s="5"/>
      <c r="H741" s="7"/>
    </row>
    <row r="742" spans="3:8" ht="12.75" x14ac:dyDescent="0.2">
      <c r="C742" s="5"/>
      <c r="D742" s="5"/>
      <c r="H742" s="7"/>
    </row>
    <row r="743" spans="3:8" ht="12.75" x14ac:dyDescent="0.2">
      <c r="C743" s="5"/>
      <c r="D743" s="5"/>
      <c r="H743" s="7"/>
    </row>
    <row r="744" spans="3:8" ht="12.75" x14ac:dyDescent="0.2">
      <c r="C744" s="5"/>
      <c r="D744" s="5"/>
      <c r="H744" s="7"/>
    </row>
    <row r="745" spans="3:8" ht="12.75" x14ac:dyDescent="0.2">
      <c r="C745" s="5"/>
      <c r="D745" s="5"/>
      <c r="H745" s="7"/>
    </row>
    <row r="746" spans="3:8" ht="12.75" x14ac:dyDescent="0.2">
      <c r="C746" s="5"/>
      <c r="D746" s="5"/>
      <c r="H746" s="7"/>
    </row>
    <row r="747" spans="3:8" ht="12.75" x14ac:dyDescent="0.2">
      <c r="C747" s="5"/>
      <c r="D747" s="5"/>
      <c r="H747" s="7"/>
    </row>
    <row r="748" spans="3:8" ht="12.75" x14ac:dyDescent="0.2">
      <c r="C748" s="5"/>
      <c r="D748" s="5"/>
      <c r="H748" s="7"/>
    </row>
    <row r="749" spans="3:8" ht="12.75" x14ac:dyDescent="0.2">
      <c r="C749" s="5"/>
      <c r="D749" s="5"/>
      <c r="H749" s="7"/>
    </row>
    <row r="750" spans="3:8" ht="12.75" x14ac:dyDescent="0.2">
      <c r="C750" s="5"/>
      <c r="D750" s="5"/>
      <c r="H750" s="7"/>
    </row>
    <row r="751" spans="3:8" ht="12.75" x14ac:dyDescent="0.2">
      <c r="C751" s="5"/>
      <c r="D751" s="5"/>
      <c r="H751" s="7"/>
    </row>
    <row r="752" spans="3:8" ht="12.75" x14ac:dyDescent="0.2">
      <c r="C752" s="5"/>
      <c r="D752" s="5"/>
      <c r="H752" s="7"/>
    </row>
    <row r="753" spans="3:8" ht="12.75" x14ac:dyDescent="0.2">
      <c r="C753" s="5"/>
      <c r="D753" s="5"/>
      <c r="H753" s="7"/>
    </row>
    <row r="754" spans="3:8" ht="12.75" x14ac:dyDescent="0.2">
      <c r="C754" s="5"/>
      <c r="D754" s="5"/>
      <c r="H754" s="7"/>
    </row>
    <row r="755" spans="3:8" ht="12.75" x14ac:dyDescent="0.2">
      <c r="C755" s="5"/>
      <c r="D755" s="5"/>
      <c r="H755" s="7"/>
    </row>
    <row r="756" spans="3:8" ht="12.75" x14ac:dyDescent="0.2">
      <c r="C756" s="5"/>
      <c r="D756" s="5"/>
      <c r="H756" s="7"/>
    </row>
    <row r="757" spans="3:8" ht="12.75" x14ac:dyDescent="0.2">
      <c r="C757" s="5"/>
      <c r="D757" s="5"/>
      <c r="H757" s="7"/>
    </row>
    <row r="758" spans="3:8" ht="12.75" x14ac:dyDescent="0.2">
      <c r="C758" s="5"/>
      <c r="D758" s="5"/>
      <c r="H758" s="7"/>
    </row>
    <row r="759" spans="3:8" ht="12.75" x14ac:dyDescent="0.2">
      <c r="C759" s="5"/>
      <c r="D759" s="5"/>
      <c r="H759" s="7"/>
    </row>
    <row r="760" spans="3:8" ht="12.75" x14ac:dyDescent="0.2">
      <c r="C760" s="5"/>
      <c r="D760" s="5"/>
      <c r="H760" s="7"/>
    </row>
    <row r="761" spans="3:8" ht="12.75" x14ac:dyDescent="0.2">
      <c r="C761" s="5"/>
      <c r="D761" s="5"/>
      <c r="H761" s="7"/>
    </row>
    <row r="762" spans="3:8" ht="12.75" x14ac:dyDescent="0.2">
      <c r="C762" s="5"/>
      <c r="D762" s="5"/>
      <c r="H762" s="7"/>
    </row>
    <row r="763" spans="3:8" ht="12.75" x14ac:dyDescent="0.2">
      <c r="C763" s="5"/>
      <c r="D763" s="5"/>
      <c r="H763" s="7"/>
    </row>
    <row r="764" spans="3:8" ht="12.75" x14ac:dyDescent="0.2">
      <c r="C764" s="5"/>
      <c r="D764" s="5"/>
      <c r="H764" s="7"/>
    </row>
    <row r="765" spans="3:8" ht="12.75" x14ac:dyDescent="0.2">
      <c r="C765" s="5"/>
      <c r="D765" s="5"/>
      <c r="H765" s="7"/>
    </row>
    <row r="766" spans="3:8" ht="12.75" x14ac:dyDescent="0.2">
      <c r="C766" s="5"/>
      <c r="D766" s="5"/>
      <c r="H766" s="7"/>
    </row>
    <row r="767" spans="3:8" ht="12.75" x14ac:dyDescent="0.2">
      <c r="C767" s="5"/>
      <c r="D767" s="5"/>
      <c r="H767" s="7"/>
    </row>
    <row r="768" spans="3:8" ht="12.75" x14ac:dyDescent="0.2">
      <c r="C768" s="5"/>
      <c r="D768" s="5"/>
      <c r="H768" s="7"/>
    </row>
    <row r="769" spans="3:8" ht="12.75" x14ac:dyDescent="0.2">
      <c r="C769" s="5"/>
      <c r="D769" s="5"/>
      <c r="H769" s="7"/>
    </row>
    <row r="770" spans="3:8" ht="12.75" x14ac:dyDescent="0.2">
      <c r="C770" s="5"/>
      <c r="D770" s="5"/>
      <c r="H770" s="7"/>
    </row>
    <row r="771" spans="3:8" ht="12.75" x14ac:dyDescent="0.2">
      <c r="C771" s="5"/>
      <c r="D771" s="5"/>
      <c r="H771" s="7"/>
    </row>
    <row r="772" spans="3:8" ht="12.75" x14ac:dyDescent="0.2">
      <c r="C772" s="5"/>
      <c r="D772" s="5"/>
      <c r="H772" s="7"/>
    </row>
    <row r="773" spans="3:8" ht="12.75" x14ac:dyDescent="0.2">
      <c r="C773" s="5"/>
      <c r="D773" s="5"/>
      <c r="H773" s="7"/>
    </row>
    <row r="774" spans="3:8" ht="12.75" x14ac:dyDescent="0.2">
      <c r="C774" s="5"/>
      <c r="D774" s="5"/>
      <c r="H774" s="7"/>
    </row>
    <row r="775" spans="3:8" ht="12.75" x14ac:dyDescent="0.2">
      <c r="C775" s="5"/>
      <c r="D775" s="5"/>
      <c r="H775" s="7"/>
    </row>
    <row r="776" spans="3:8" ht="12.75" x14ac:dyDescent="0.2">
      <c r="C776" s="5"/>
      <c r="D776" s="5"/>
      <c r="H776" s="7"/>
    </row>
    <row r="777" spans="3:8" ht="12.75" x14ac:dyDescent="0.2">
      <c r="C777" s="5"/>
      <c r="D777" s="5"/>
      <c r="H777" s="7"/>
    </row>
    <row r="778" spans="3:8" ht="12.75" x14ac:dyDescent="0.2">
      <c r="C778" s="5"/>
      <c r="D778" s="5"/>
      <c r="H778" s="7"/>
    </row>
    <row r="779" spans="3:8" ht="12.75" x14ac:dyDescent="0.2">
      <c r="C779" s="5"/>
      <c r="D779" s="5"/>
      <c r="H779" s="7"/>
    </row>
    <row r="780" spans="3:8" ht="12.75" x14ac:dyDescent="0.2">
      <c r="C780" s="5"/>
      <c r="D780" s="5"/>
      <c r="H780" s="7"/>
    </row>
    <row r="781" spans="3:8" ht="12.75" x14ac:dyDescent="0.2">
      <c r="C781" s="5"/>
      <c r="D781" s="5"/>
      <c r="H781" s="7"/>
    </row>
    <row r="782" spans="3:8" ht="12.75" x14ac:dyDescent="0.2">
      <c r="C782" s="5"/>
      <c r="D782" s="5"/>
      <c r="H782" s="7"/>
    </row>
    <row r="783" spans="3:8" ht="12.75" x14ac:dyDescent="0.2">
      <c r="C783" s="5"/>
      <c r="D783" s="5"/>
      <c r="H783" s="7"/>
    </row>
    <row r="784" spans="3:8" ht="12.75" x14ac:dyDescent="0.2">
      <c r="C784" s="5"/>
      <c r="D784" s="5"/>
      <c r="H784" s="7"/>
    </row>
    <row r="785" spans="3:8" ht="12.75" x14ac:dyDescent="0.2">
      <c r="C785" s="5"/>
      <c r="D785" s="5"/>
      <c r="H785" s="7"/>
    </row>
    <row r="786" spans="3:8" ht="12.75" x14ac:dyDescent="0.2">
      <c r="C786" s="5"/>
      <c r="D786" s="5"/>
      <c r="H786" s="7"/>
    </row>
    <row r="787" spans="3:8" ht="12.75" x14ac:dyDescent="0.2">
      <c r="C787" s="5"/>
      <c r="D787" s="5"/>
      <c r="H787" s="7"/>
    </row>
    <row r="788" spans="3:8" ht="12.75" x14ac:dyDescent="0.2">
      <c r="C788" s="5"/>
      <c r="D788" s="5"/>
      <c r="H788" s="7"/>
    </row>
    <row r="789" spans="3:8" ht="12.75" x14ac:dyDescent="0.2">
      <c r="C789" s="5"/>
      <c r="D789" s="5"/>
      <c r="H789" s="7"/>
    </row>
    <row r="790" spans="3:8" ht="12.75" x14ac:dyDescent="0.2">
      <c r="C790" s="5"/>
      <c r="D790" s="5"/>
      <c r="H790" s="7"/>
    </row>
    <row r="791" spans="3:8" ht="12.75" x14ac:dyDescent="0.2">
      <c r="C791" s="5"/>
      <c r="D791" s="5"/>
      <c r="H791" s="7"/>
    </row>
    <row r="792" spans="3:8" ht="12.75" x14ac:dyDescent="0.2">
      <c r="C792" s="5"/>
      <c r="D792" s="5"/>
      <c r="H792" s="7"/>
    </row>
    <row r="793" spans="3:8" ht="12.75" x14ac:dyDescent="0.2">
      <c r="C793" s="5"/>
      <c r="D793" s="5"/>
      <c r="H793" s="7"/>
    </row>
    <row r="794" spans="3:8" ht="12.75" x14ac:dyDescent="0.2">
      <c r="C794" s="5"/>
      <c r="D794" s="5"/>
      <c r="H794" s="7"/>
    </row>
    <row r="795" spans="3:8" ht="12.75" x14ac:dyDescent="0.2">
      <c r="C795" s="5"/>
      <c r="D795" s="5"/>
      <c r="H795" s="7"/>
    </row>
    <row r="796" spans="3:8" ht="12.75" x14ac:dyDescent="0.2">
      <c r="C796" s="5"/>
      <c r="D796" s="5"/>
      <c r="H796" s="7"/>
    </row>
    <row r="797" spans="3:8" ht="12.75" x14ac:dyDescent="0.2">
      <c r="C797" s="5"/>
      <c r="D797" s="5"/>
      <c r="H797" s="7"/>
    </row>
    <row r="798" spans="3:8" ht="12.75" x14ac:dyDescent="0.2">
      <c r="C798" s="5"/>
      <c r="D798" s="5"/>
      <c r="H798" s="7"/>
    </row>
    <row r="799" spans="3:8" ht="12.75" x14ac:dyDescent="0.2">
      <c r="C799" s="5"/>
      <c r="D799" s="5"/>
      <c r="H799" s="7"/>
    </row>
    <row r="800" spans="3:8" ht="12.75" x14ac:dyDescent="0.2">
      <c r="C800" s="5"/>
      <c r="D800" s="5"/>
      <c r="H800" s="7"/>
    </row>
    <row r="801" spans="3:8" ht="12.75" x14ac:dyDescent="0.2">
      <c r="C801" s="5"/>
      <c r="D801" s="5"/>
      <c r="H801" s="7"/>
    </row>
    <row r="802" spans="3:8" ht="12.75" x14ac:dyDescent="0.2">
      <c r="C802" s="5"/>
      <c r="D802" s="5"/>
      <c r="H802" s="7"/>
    </row>
    <row r="803" spans="3:8" ht="12.75" x14ac:dyDescent="0.2">
      <c r="C803" s="5"/>
      <c r="D803" s="5"/>
      <c r="H803" s="7"/>
    </row>
    <row r="804" spans="3:8" ht="12.75" x14ac:dyDescent="0.2">
      <c r="C804" s="5"/>
      <c r="D804" s="5"/>
      <c r="H804" s="7"/>
    </row>
    <row r="805" spans="3:8" ht="12.75" x14ac:dyDescent="0.2">
      <c r="C805" s="5"/>
      <c r="D805" s="5"/>
      <c r="H805" s="7"/>
    </row>
    <row r="806" spans="3:8" ht="12.75" x14ac:dyDescent="0.2">
      <c r="C806" s="5"/>
      <c r="D806" s="5"/>
      <c r="H806" s="7"/>
    </row>
    <row r="807" spans="3:8" ht="12.75" x14ac:dyDescent="0.2">
      <c r="C807" s="5"/>
      <c r="D807" s="5"/>
      <c r="H807" s="7"/>
    </row>
    <row r="808" spans="3:8" ht="12.75" x14ac:dyDescent="0.2">
      <c r="C808" s="5"/>
      <c r="D808" s="5"/>
      <c r="H808" s="7"/>
    </row>
    <row r="809" spans="3:8" ht="12.75" x14ac:dyDescent="0.2">
      <c r="C809" s="5"/>
      <c r="D809" s="5"/>
      <c r="H809" s="7"/>
    </row>
    <row r="810" spans="3:8" ht="12.75" x14ac:dyDescent="0.2">
      <c r="C810" s="5"/>
      <c r="D810" s="5"/>
      <c r="H810" s="7"/>
    </row>
    <row r="811" spans="3:8" ht="12.75" x14ac:dyDescent="0.2">
      <c r="C811" s="5"/>
      <c r="D811" s="5"/>
      <c r="H811" s="7"/>
    </row>
    <row r="812" spans="3:8" ht="12.75" x14ac:dyDescent="0.2">
      <c r="C812" s="5"/>
      <c r="D812" s="5"/>
      <c r="H812" s="7"/>
    </row>
    <row r="813" spans="3:8" ht="12.75" x14ac:dyDescent="0.2">
      <c r="C813" s="5"/>
      <c r="D813" s="5"/>
      <c r="H813" s="7"/>
    </row>
    <row r="814" spans="3:8" ht="12.75" x14ac:dyDescent="0.2">
      <c r="C814" s="5"/>
      <c r="D814" s="5"/>
      <c r="H814" s="7"/>
    </row>
    <row r="815" spans="3:8" ht="12.75" x14ac:dyDescent="0.2">
      <c r="C815" s="5"/>
      <c r="D815" s="5"/>
      <c r="H815" s="7"/>
    </row>
    <row r="816" spans="3:8" ht="12.75" x14ac:dyDescent="0.2">
      <c r="C816" s="5"/>
      <c r="D816" s="5"/>
      <c r="H816" s="7"/>
    </row>
    <row r="817" spans="3:8" ht="12.75" x14ac:dyDescent="0.2">
      <c r="C817" s="5"/>
      <c r="D817" s="5"/>
      <c r="H817" s="7"/>
    </row>
    <row r="818" spans="3:8" ht="12.75" x14ac:dyDescent="0.2">
      <c r="C818" s="5"/>
      <c r="D818" s="5"/>
      <c r="H818" s="7"/>
    </row>
    <row r="819" spans="3:8" ht="12.75" x14ac:dyDescent="0.2">
      <c r="C819" s="5"/>
      <c r="D819" s="5"/>
      <c r="H819" s="7"/>
    </row>
    <row r="820" spans="3:8" ht="12.75" x14ac:dyDescent="0.2">
      <c r="C820" s="5"/>
      <c r="D820" s="5"/>
      <c r="H820" s="7"/>
    </row>
    <row r="821" spans="3:8" ht="12.75" x14ac:dyDescent="0.2">
      <c r="C821" s="5"/>
      <c r="D821" s="5"/>
      <c r="H821" s="7"/>
    </row>
    <row r="822" spans="3:8" ht="12.75" x14ac:dyDescent="0.2">
      <c r="C822" s="5"/>
      <c r="D822" s="5"/>
      <c r="H822" s="7"/>
    </row>
    <row r="823" spans="3:8" ht="12.75" x14ac:dyDescent="0.2">
      <c r="C823" s="5"/>
      <c r="D823" s="5"/>
      <c r="H823" s="7"/>
    </row>
    <row r="824" spans="3:8" ht="12.75" x14ac:dyDescent="0.2">
      <c r="C824" s="5"/>
      <c r="D824" s="5"/>
      <c r="H824" s="7"/>
    </row>
    <row r="825" spans="3:8" ht="12.75" x14ac:dyDescent="0.2">
      <c r="C825" s="5"/>
      <c r="D825" s="5"/>
      <c r="H825" s="7"/>
    </row>
    <row r="826" spans="3:8" ht="12.75" x14ac:dyDescent="0.2">
      <c r="C826" s="5"/>
      <c r="D826" s="5"/>
      <c r="H826" s="7"/>
    </row>
    <row r="827" spans="3:8" ht="12.75" x14ac:dyDescent="0.2">
      <c r="C827" s="5"/>
      <c r="D827" s="5"/>
      <c r="H827" s="7"/>
    </row>
    <row r="828" spans="3:8" ht="12.75" x14ac:dyDescent="0.2">
      <c r="C828" s="5"/>
      <c r="D828" s="5"/>
      <c r="H828" s="7"/>
    </row>
    <row r="829" spans="3:8" ht="12.75" x14ac:dyDescent="0.2">
      <c r="C829" s="5"/>
      <c r="D829" s="5"/>
      <c r="H829" s="7"/>
    </row>
    <row r="830" spans="3:8" ht="12.75" x14ac:dyDescent="0.2">
      <c r="C830" s="5"/>
      <c r="D830" s="5"/>
      <c r="H830" s="7"/>
    </row>
    <row r="831" spans="3:8" ht="12.75" x14ac:dyDescent="0.2">
      <c r="C831" s="5"/>
      <c r="D831" s="5"/>
      <c r="H831" s="7"/>
    </row>
    <row r="832" spans="3:8" ht="12.75" x14ac:dyDescent="0.2">
      <c r="C832" s="5"/>
      <c r="D832" s="5"/>
      <c r="H832" s="7"/>
    </row>
    <row r="833" spans="3:8" ht="12.75" x14ac:dyDescent="0.2">
      <c r="C833" s="5"/>
      <c r="D833" s="5"/>
      <c r="H833" s="7"/>
    </row>
    <row r="834" spans="3:8" ht="12.75" x14ac:dyDescent="0.2">
      <c r="C834" s="5"/>
      <c r="D834" s="5"/>
      <c r="H834" s="7"/>
    </row>
    <row r="835" spans="3:8" ht="12.75" x14ac:dyDescent="0.2">
      <c r="C835" s="5"/>
      <c r="D835" s="5"/>
      <c r="H835" s="7"/>
    </row>
    <row r="836" spans="3:8" ht="12.75" x14ac:dyDescent="0.2">
      <c r="C836" s="5"/>
      <c r="D836" s="5"/>
      <c r="H836" s="7"/>
    </row>
    <row r="837" spans="3:8" ht="12.75" x14ac:dyDescent="0.2">
      <c r="C837" s="5"/>
      <c r="D837" s="5"/>
      <c r="H837" s="7"/>
    </row>
    <row r="838" spans="3:8" ht="12.75" x14ac:dyDescent="0.2">
      <c r="C838" s="5"/>
      <c r="D838" s="5"/>
      <c r="H838" s="7"/>
    </row>
    <row r="839" spans="3:8" ht="12.75" x14ac:dyDescent="0.2">
      <c r="C839" s="5"/>
      <c r="D839" s="5"/>
      <c r="H839" s="7"/>
    </row>
    <row r="840" spans="3:8" ht="12.75" x14ac:dyDescent="0.2">
      <c r="C840" s="5"/>
      <c r="D840" s="5"/>
      <c r="H840" s="7"/>
    </row>
    <row r="841" spans="3:8" ht="12.75" x14ac:dyDescent="0.2">
      <c r="C841" s="5"/>
      <c r="D841" s="5"/>
      <c r="H841" s="7"/>
    </row>
    <row r="842" spans="3:8" ht="12.75" x14ac:dyDescent="0.2">
      <c r="C842" s="5"/>
      <c r="D842" s="5"/>
      <c r="H842" s="7"/>
    </row>
    <row r="843" spans="3:8" ht="12.75" x14ac:dyDescent="0.2">
      <c r="C843" s="5"/>
      <c r="D843" s="5"/>
      <c r="H843" s="7"/>
    </row>
    <row r="844" spans="3:8" ht="12.75" x14ac:dyDescent="0.2">
      <c r="C844" s="5"/>
      <c r="D844" s="5"/>
      <c r="H844" s="7"/>
    </row>
    <row r="845" spans="3:8" ht="12.75" x14ac:dyDescent="0.2">
      <c r="C845" s="5"/>
      <c r="D845" s="5"/>
      <c r="H845" s="7"/>
    </row>
    <row r="846" spans="3:8" ht="12.75" x14ac:dyDescent="0.2">
      <c r="C846" s="5"/>
      <c r="D846" s="5"/>
      <c r="H846" s="7"/>
    </row>
    <row r="847" spans="3:8" ht="12.75" x14ac:dyDescent="0.2">
      <c r="C847" s="5"/>
      <c r="D847" s="5"/>
      <c r="H847" s="7"/>
    </row>
    <row r="848" spans="3:8" ht="12.75" x14ac:dyDescent="0.2">
      <c r="C848" s="5"/>
      <c r="D848" s="5"/>
      <c r="H848" s="7"/>
    </row>
    <row r="849" spans="3:8" ht="12.75" x14ac:dyDescent="0.2">
      <c r="C849" s="5"/>
      <c r="D849" s="5"/>
      <c r="H849" s="7"/>
    </row>
    <row r="850" spans="3:8" ht="12.75" x14ac:dyDescent="0.2">
      <c r="C850" s="5"/>
      <c r="D850" s="5"/>
      <c r="H850" s="7"/>
    </row>
    <row r="851" spans="3:8" ht="12.75" x14ac:dyDescent="0.2">
      <c r="C851" s="5"/>
      <c r="D851" s="5"/>
      <c r="H851" s="7"/>
    </row>
    <row r="852" spans="3:8" ht="12.75" x14ac:dyDescent="0.2">
      <c r="C852" s="5"/>
      <c r="D852" s="5"/>
      <c r="H852" s="7"/>
    </row>
    <row r="853" spans="3:8" ht="12.75" x14ac:dyDescent="0.2">
      <c r="C853" s="5"/>
      <c r="D853" s="5"/>
      <c r="H853" s="7"/>
    </row>
    <row r="854" spans="3:8" ht="12.75" x14ac:dyDescent="0.2">
      <c r="C854" s="5"/>
      <c r="D854" s="5"/>
      <c r="H854" s="7"/>
    </row>
    <row r="855" spans="3:8" ht="12.75" x14ac:dyDescent="0.2">
      <c r="C855" s="5"/>
      <c r="D855" s="5"/>
      <c r="H855" s="7"/>
    </row>
    <row r="856" spans="3:8" ht="12.75" x14ac:dyDescent="0.2">
      <c r="C856" s="5"/>
      <c r="D856" s="5"/>
      <c r="H856" s="7"/>
    </row>
    <row r="857" spans="3:8" ht="12.75" x14ac:dyDescent="0.2">
      <c r="C857" s="5"/>
      <c r="D857" s="5"/>
      <c r="H857" s="7"/>
    </row>
    <row r="858" spans="3:8" ht="12.75" x14ac:dyDescent="0.2">
      <c r="C858" s="5"/>
      <c r="D858" s="5"/>
      <c r="H858" s="7"/>
    </row>
    <row r="859" spans="3:8" ht="12.75" x14ac:dyDescent="0.2">
      <c r="C859" s="5"/>
      <c r="D859" s="5"/>
      <c r="H859" s="7"/>
    </row>
    <row r="860" spans="3:8" ht="12.75" x14ac:dyDescent="0.2">
      <c r="C860" s="5"/>
      <c r="D860" s="5"/>
      <c r="H860" s="7"/>
    </row>
    <row r="861" spans="3:8" ht="12.75" x14ac:dyDescent="0.2">
      <c r="C861" s="5"/>
      <c r="D861" s="5"/>
      <c r="H861" s="7"/>
    </row>
    <row r="862" spans="3:8" ht="12.75" x14ac:dyDescent="0.2">
      <c r="C862" s="5"/>
      <c r="D862" s="5"/>
      <c r="H862" s="7"/>
    </row>
    <row r="863" spans="3:8" ht="12.75" x14ac:dyDescent="0.2">
      <c r="C863" s="5"/>
      <c r="D863" s="5"/>
      <c r="H863" s="7"/>
    </row>
    <row r="864" spans="3:8" ht="12.75" x14ac:dyDescent="0.2">
      <c r="C864" s="5"/>
      <c r="D864" s="5"/>
      <c r="H864" s="7"/>
    </row>
    <row r="865" spans="3:8" ht="12.75" x14ac:dyDescent="0.2">
      <c r="C865" s="5"/>
      <c r="D865" s="5"/>
      <c r="H865" s="7"/>
    </row>
    <row r="866" spans="3:8" ht="12.75" x14ac:dyDescent="0.2">
      <c r="C866" s="5"/>
      <c r="D866" s="5"/>
      <c r="H866" s="7"/>
    </row>
    <row r="867" spans="3:8" ht="12.75" x14ac:dyDescent="0.2">
      <c r="C867" s="5"/>
      <c r="D867" s="5"/>
      <c r="H867" s="7"/>
    </row>
    <row r="868" spans="3:8" ht="12.75" x14ac:dyDescent="0.2">
      <c r="C868" s="5"/>
      <c r="D868" s="5"/>
      <c r="H868" s="7"/>
    </row>
    <row r="869" spans="3:8" ht="12.75" x14ac:dyDescent="0.2">
      <c r="C869" s="5"/>
      <c r="D869" s="5"/>
      <c r="H869" s="7"/>
    </row>
    <row r="870" spans="3:8" ht="12.75" x14ac:dyDescent="0.2">
      <c r="C870" s="5"/>
      <c r="D870" s="5"/>
      <c r="H870" s="7"/>
    </row>
    <row r="871" spans="3:8" ht="12.75" x14ac:dyDescent="0.2">
      <c r="C871" s="5"/>
      <c r="D871" s="5"/>
      <c r="H871" s="7"/>
    </row>
    <row r="872" spans="3:8" ht="12.75" x14ac:dyDescent="0.2">
      <c r="C872" s="5"/>
      <c r="D872" s="5"/>
      <c r="H872" s="7"/>
    </row>
    <row r="873" spans="3:8" ht="12.75" x14ac:dyDescent="0.2">
      <c r="C873" s="5"/>
      <c r="D873" s="5"/>
      <c r="H873" s="7"/>
    </row>
    <row r="874" spans="3:8" ht="12.75" x14ac:dyDescent="0.2">
      <c r="C874" s="5"/>
      <c r="D874" s="5"/>
      <c r="H874" s="7"/>
    </row>
    <row r="875" spans="3:8" ht="12.75" x14ac:dyDescent="0.2">
      <c r="C875" s="5"/>
      <c r="D875" s="5"/>
      <c r="H875" s="7"/>
    </row>
    <row r="876" spans="3:8" ht="12.75" x14ac:dyDescent="0.2">
      <c r="C876" s="5"/>
      <c r="D876" s="5"/>
      <c r="H876" s="7"/>
    </row>
    <row r="877" spans="3:8" ht="12.75" x14ac:dyDescent="0.2">
      <c r="C877" s="5"/>
      <c r="D877" s="5"/>
      <c r="H877" s="7"/>
    </row>
    <row r="878" spans="3:8" ht="12.75" x14ac:dyDescent="0.2">
      <c r="C878" s="5"/>
      <c r="D878" s="5"/>
      <c r="H878" s="7"/>
    </row>
    <row r="879" spans="3:8" ht="12.75" x14ac:dyDescent="0.2">
      <c r="C879" s="5"/>
      <c r="D879" s="5"/>
      <c r="H879" s="7"/>
    </row>
    <row r="880" spans="3:8" ht="12.75" x14ac:dyDescent="0.2">
      <c r="C880" s="5"/>
      <c r="D880" s="5"/>
      <c r="H880" s="7"/>
    </row>
    <row r="881" spans="3:8" ht="12.75" x14ac:dyDescent="0.2">
      <c r="C881" s="5"/>
      <c r="D881" s="5"/>
      <c r="H881" s="7"/>
    </row>
    <row r="882" spans="3:8" ht="12.75" x14ac:dyDescent="0.2">
      <c r="C882" s="5"/>
      <c r="D882" s="5"/>
      <c r="H882" s="7"/>
    </row>
    <row r="883" spans="3:8" ht="12.75" x14ac:dyDescent="0.2">
      <c r="C883" s="5"/>
      <c r="D883" s="5"/>
      <c r="H883" s="7"/>
    </row>
    <row r="884" spans="3:8" ht="12.75" x14ac:dyDescent="0.2">
      <c r="C884" s="5"/>
      <c r="D884" s="5"/>
      <c r="H884" s="7"/>
    </row>
    <row r="885" spans="3:8" ht="12.75" x14ac:dyDescent="0.2">
      <c r="C885" s="5"/>
      <c r="D885" s="5"/>
      <c r="H885" s="7"/>
    </row>
    <row r="886" spans="3:8" ht="12.75" x14ac:dyDescent="0.2">
      <c r="C886" s="5"/>
      <c r="D886" s="5"/>
      <c r="H886" s="7"/>
    </row>
    <row r="887" spans="3:8" ht="12.75" x14ac:dyDescent="0.2">
      <c r="C887" s="5"/>
      <c r="D887" s="5"/>
      <c r="H887" s="7"/>
    </row>
    <row r="888" spans="3:8" ht="12.75" x14ac:dyDescent="0.2">
      <c r="C888" s="5"/>
      <c r="D888" s="5"/>
      <c r="H888" s="7"/>
    </row>
    <row r="889" spans="3:8" ht="12.75" x14ac:dyDescent="0.2">
      <c r="C889" s="5"/>
      <c r="D889" s="5"/>
      <c r="H889" s="7"/>
    </row>
    <row r="890" spans="3:8" ht="12.75" x14ac:dyDescent="0.2">
      <c r="C890" s="5"/>
      <c r="D890" s="5"/>
      <c r="H890" s="7"/>
    </row>
    <row r="891" spans="3:8" ht="12.75" x14ac:dyDescent="0.2">
      <c r="C891" s="5"/>
      <c r="D891" s="5"/>
      <c r="H891" s="7"/>
    </row>
    <row r="892" spans="3:8" ht="12.75" x14ac:dyDescent="0.2">
      <c r="C892" s="5"/>
      <c r="D892" s="5"/>
      <c r="H892" s="7"/>
    </row>
    <row r="893" spans="3:8" ht="12.75" x14ac:dyDescent="0.2">
      <c r="C893" s="5"/>
      <c r="D893" s="5"/>
      <c r="H893" s="7"/>
    </row>
    <row r="894" spans="3:8" ht="12.75" x14ac:dyDescent="0.2">
      <c r="C894" s="5"/>
      <c r="D894" s="5"/>
      <c r="H894" s="7"/>
    </row>
    <row r="895" spans="3:8" ht="12.75" x14ac:dyDescent="0.2">
      <c r="C895" s="5"/>
      <c r="D895" s="5"/>
      <c r="H895" s="7"/>
    </row>
    <row r="896" spans="3:8" ht="12.75" x14ac:dyDescent="0.2">
      <c r="C896" s="5"/>
      <c r="D896" s="5"/>
      <c r="H896" s="7"/>
    </row>
    <row r="897" spans="3:8" ht="12.75" x14ac:dyDescent="0.2">
      <c r="C897" s="5"/>
      <c r="D897" s="5"/>
      <c r="H897" s="7"/>
    </row>
    <row r="898" spans="3:8" ht="12.75" x14ac:dyDescent="0.2">
      <c r="C898" s="5"/>
      <c r="D898" s="5"/>
      <c r="H898" s="7"/>
    </row>
    <row r="899" spans="3:8" ht="12.75" x14ac:dyDescent="0.2">
      <c r="C899" s="5"/>
      <c r="D899" s="5"/>
      <c r="H899" s="7"/>
    </row>
    <row r="900" spans="3:8" ht="12.75" x14ac:dyDescent="0.2">
      <c r="C900" s="5"/>
      <c r="D900" s="5"/>
      <c r="H900" s="7"/>
    </row>
    <row r="901" spans="3:8" ht="12.75" x14ac:dyDescent="0.2">
      <c r="C901" s="5"/>
      <c r="D901" s="5"/>
      <c r="H901" s="7"/>
    </row>
    <row r="902" spans="3:8" ht="12.75" x14ac:dyDescent="0.2">
      <c r="C902" s="5"/>
      <c r="D902" s="5"/>
      <c r="H902" s="7"/>
    </row>
    <row r="903" spans="3:8" ht="12.75" x14ac:dyDescent="0.2">
      <c r="C903" s="5"/>
      <c r="D903" s="5"/>
      <c r="H903" s="7"/>
    </row>
    <row r="904" spans="3:8" ht="12.75" x14ac:dyDescent="0.2">
      <c r="C904" s="5"/>
      <c r="D904" s="5"/>
      <c r="H904" s="7"/>
    </row>
    <row r="905" spans="3:8" ht="12.75" x14ac:dyDescent="0.2">
      <c r="C905" s="5"/>
      <c r="D905" s="5"/>
      <c r="H905" s="7"/>
    </row>
    <row r="906" spans="3:8" ht="12.75" x14ac:dyDescent="0.2">
      <c r="C906" s="5"/>
      <c r="D906" s="5"/>
      <c r="H906" s="7"/>
    </row>
    <row r="907" spans="3:8" ht="12.75" x14ac:dyDescent="0.2">
      <c r="C907" s="5"/>
      <c r="D907" s="5"/>
      <c r="H907" s="7"/>
    </row>
    <row r="908" spans="3:8" ht="12.75" x14ac:dyDescent="0.2">
      <c r="C908" s="5"/>
      <c r="D908" s="5"/>
      <c r="H908" s="7"/>
    </row>
    <row r="909" spans="3:8" ht="12.75" x14ac:dyDescent="0.2">
      <c r="C909" s="5"/>
      <c r="D909" s="5"/>
      <c r="H909" s="7"/>
    </row>
    <row r="910" spans="3:8" ht="12.75" x14ac:dyDescent="0.2">
      <c r="C910" s="5"/>
      <c r="D910" s="5"/>
      <c r="H910" s="7"/>
    </row>
    <row r="911" spans="3:8" ht="12.75" x14ac:dyDescent="0.2">
      <c r="C911" s="5"/>
      <c r="D911" s="5"/>
      <c r="H911" s="7"/>
    </row>
    <row r="912" spans="3:8" ht="12.75" x14ac:dyDescent="0.2">
      <c r="C912" s="5"/>
      <c r="D912" s="5"/>
      <c r="H912" s="7"/>
    </row>
    <row r="913" spans="3:8" ht="12.75" x14ac:dyDescent="0.2">
      <c r="C913" s="5"/>
      <c r="D913" s="5"/>
      <c r="H913" s="7"/>
    </row>
    <row r="914" spans="3:8" ht="12.75" x14ac:dyDescent="0.2">
      <c r="C914" s="5"/>
      <c r="D914" s="5"/>
      <c r="H914" s="7"/>
    </row>
    <row r="915" spans="3:8" ht="12.75" x14ac:dyDescent="0.2">
      <c r="C915" s="5"/>
      <c r="D915" s="5"/>
      <c r="H915" s="7"/>
    </row>
    <row r="916" spans="3:8" ht="12.75" x14ac:dyDescent="0.2">
      <c r="C916" s="5"/>
      <c r="D916" s="5"/>
      <c r="H916" s="7"/>
    </row>
    <row r="917" spans="3:8" ht="12.75" x14ac:dyDescent="0.2">
      <c r="C917" s="5"/>
      <c r="D917" s="5"/>
      <c r="H917" s="7"/>
    </row>
    <row r="918" spans="3:8" ht="12.75" x14ac:dyDescent="0.2">
      <c r="C918" s="5"/>
      <c r="D918" s="5"/>
      <c r="H918" s="7"/>
    </row>
    <row r="919" spans="3:8" ht="12.75" x14ac:dyDescent="0.2">
      <c r="C919" s="5"/>
      <c r="D919" s="5"/>
      <c r="H919" s="7"/>
    </row>
    <row r="920" spans="3:8" ht="12.75" x14ac:dyDescent="0.2">
      <c r="C920" s="5"/>
      <c r="D920" s="5"/>
      <c r="H920" s="7"/>
    </row>
    <row r="921" spans="3:8" ht="12.75" x14ac:dyDescent="0.2">
      <c r="C921" s="5"/>
      <c r="D921" s="5"/>
      <c r="H921" s="7"/>
    </row>
    <row r="922" spans="3:8" ht="12.75" x14ac:dyDescent="0.2">
      <c r="C922" s="5"/>
      <c r="D922" s="5"/>
      <c r="H922" s="7"/>
    </row>
    <row r="923" spans="3:8" ht="12.75" x14ac:dyDescent="0.2">
      <c r="C923" s="5"/>
      <c r="D923" s="5"/>
      <c r="H923" s="7"/>
    </row>
    <row r="924" spans="3:8" ht="12.75" x14ac:dyDescent="0.2">
      <c r="C924" s="5"/>
      <c r="D924" s="5"/>
      <c r="H924" s="7"/>
    </row>
    <row r="925" spans="3:8" ht="12.75" x14ac:dyDescent="0.2">
      <c r="C925" s="5"/>
      <c r="D925" s="5"/>
      <c r="H925" s="7"/>
    </row>
    <row r="926" spans="3:8" ht="12.75" x14ac:dyDescent="0.2">
      <c r="C926" s="5"/>
      <c r="D926" s="5"/>
      <c r="H926" s="7"/>
    </row>
    <row r="927" spans="3:8" ht="12.75" x14ac:dyDescent="0.2">
      <c r="C927" s="5"/>
      <c r="D927" s="5"/>
      <c r="H927" s="7"/>
    </row>
    <row r="928" spans="3:8" ht="12.75" x14ac:dyDescent="0.2">
      <c r="C928" s="5"/>
      <c r="D928" s="5"/>
      <c r="H928" s="7"/>
    </row>
    <row r="929" spans="3:8" ht="12.75" x14ac:dyDescent="0.2">
      <c r="C929" s="5"/>
      <c r="D929" s="5"/>
      <c r="H929" s="7"/>
    </row>
    <row r="930" spans="3:8" ht="12.75" x14ac:dyDescent="0.2">
      <c r="C930" s="5"/>
      <c r="D930" s="5"/>
      <c r="H930" s="7"/>
    </row>
    <row r="931" spans="3:8" ht="12.75" x14ac:dyDescent="0.2">
      <c r="C931" s="5"/>
      <c r="D931" s="5"/>
      <c r="H931" s="7"/>
    </row>
    <row r="932" spans="3:8" ht="12.75" x14ac:dyDescent="0.2">
      <c r="C932" s="5"/>
      <c r="D932" s="5"/>
      <c r="H932" s="7"/>
    </row>
    <row r="933" spans="3:8" ht="12.75" x14ac:dyDescent="0.2">
      <c r="C933" s="5"/>
      <c r="D933" s="5"/>
      <c r="H933" s="7"/>
    </row>
    <row r="934" spans="3:8" ht="12.75" x14ac:dyDescent="0.2">
      <c r="C934" s="5"/>
      <c r="D934" s="5"/>
      <c r="H934" s="7"/>
    </row>
    <row r="935" spans="3:8" ht="12.75" x14ac:dyDescent="0.2">
      <c r="C935" s="5"/>
      <c r="D935" s="5"/>
      <c r="H935" s="7"/>
    </row>
    <row r="936" spans="3:8" ht="12.75" x14ac:dyDescent="0.2">
      <c r="C936" s="5"/>
      <c r="D936" s="5"/>
      <c r="H936" s="7"/>
    </row>
    <row r="937" spans="3:8" ht="12.75" x14ac:dyDescent="0.2">
      <c r="C937" s="5"/>
      <c r="D937" s="5"/>
      <c r="H937" s="7"/>
    </row>
    <row r="938" spans="3:8" ht="12.75" x14ac:dyDescent="0.2">
      <c r="C938" s="5"/>
      <c r="D938" s="5"/>
      <c r="H938" s="7"/>
    </row>
    <row r="939" spans="3:8" ht="12.75" x14ac:dyDescent="0.2">
      <c r="C939" s="5"/>
      <c r="D939" s="5"/>
      <c r="H939" s="7"/>
    </row>
    <row r="940" spans="3:8" ht="12.75" x14ac:dyDescent="0.2">
      <c r="C940" s="5"/>
      <c r="D940" s="5"/>
      <c r="H940" s="7"/>
    </row>
    <row r="941" spans="3:8" ht="12.75" x14ac:dyDescent="0.2">
      <c r="C941" s="5"/>
      <c r="D941" s="5"/>
      <c r="H941" s="7"/>
    </row>
    <row r="942" spans="3:8" ht="12.75" x14ac:dyDescent="0.2">
      <c r="C942" s="5"/>
      <c r="D942" s="5"/>
      <c r="H942" s="7"/>
    </row>
    <row r="943" spans="3:8" ht="12.75" x14ac:dyDescent="0.2">
      <c r="C943" s="5"/>
      <c r="D943" s="5"/>
      <c r="H943" s="7"/>
    </row>
    <row r="944" spans="3:8" ht="12.75" x14ac:dyDescent="0.2">
      <c r="C944" s="5"/>
      <c r="D944" s="5"/>
      <c r="H944" s="7"/>
    </row>
    <row r="945" spans="3:8" ht="12.75" x14ac:dyDescent="0.2">
      <c r="C945" s="5"/>
      <c r="D945" s="5"/>
      <c r="H945" s="7"/>
    </row>
    <row r="946" spans="3:8" ht="12.75" x14ac:dyDescent="0.2">
      <c r="C946" s="5"/>
      <c r="D946" s="5"/>
      <c r="H946" s="7"/>
    </row>
    <row r="947" spans="3:8" ht="12.75" x14ac:dyDescent="0.2">
      <c r="C947" s="5"/>
      <c r="D947" s="5"/>
      <c r="H947" s="7"/>
    </row>
    <row r="948" spans="3:8" ht="12.75" x14ac:dyDescent="0.2">
      <c r="C948" s="5"/>
      <c r="D948" s="5"/>
      <c r="H948" s="7"/>
    </row>
    <row r="949" spans="3:8" ht="12.75" x14ac:dyDescent="0.2">
      <c r="C949" s="5"/>
      <c r="D949" s="5"/>
      <c r="H949" s="7"/>
    </row>
    <row r="950" spans="3:8" ht="12.75" x14ac:dyDescent="0.2">
      <c r="C950" s="5"/>
      <c r="D950" s="5"/>
      <c r="H950" s="7"/>
    </row>
    <row r="951" spans="3:8" ht="12.75" x14ac:dyDescent="0.2">
      <c r="C951" s="5"/>
      <c r="D951" s="5"/>
      <c r="H951" s="7"/>
    </row>
    <row r="952" spans="3:8" ht="12.75" x14ac:dyDescent="0.2">
      <c r="C952" s="5"/>
      <c r="D952" s="5"/>
      <c r="H952" s="7"/>
    </row>
    <row r="953" spans="3:8" ht="12.75" x14ac:dyDescent="0.2">
      <c r="C953" s="5"/>
      <c r="D953" s="5"/>
      <c r="H953" s="7"/>
    </row>
    <row r="954" spans="3:8" ht="12.75" x14ac:dyDescent="0.2">
      <c r="C954" s="5"/>
      <c r="D954" s="5"/>
      <c r="H954" s="7"/>
    </row>
    <row r="955" spans="3:8" ht="12.75" x14ac:dyDescent="0.2">
      <c r="C955" s="5"/>
      <c r="D955" s="5"/>
      <c r="H955" s="7"/>
    </row>
    <row r="956" spans="3:8" ht="12.75" x14ac:dyDescent="0.2">
      <c r="C956" s="5"/>
      <c r="D956" s="5"/>
      <c r="H956" s="7"/>
    </row>
    <row r="957" spans="3:8" ht="12.75" x14ac:dyDescent="0.2">
      <c r="C957" s="5"/>
      <c r="D957" s="5"/>
      <c r="H957" s="7"/>
    </row>
  </sheetData>
  <autoFilter ref="A1:Z326" xr:uid="{00000000-0009-0000-0000-000000000000}"/>
  <hyperlinks>
    <hyperlink ref="B135" r:id="rId1" xr:uid="{00000000-0004-0000-0000-000000000000}"/>
    <hyperlink ref="B239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</cp:lastModifiedBy>
  <dcterms:modified xsi:type="dcterms:W3CDTF">2026-01-16T13:39:37Z</dcterms:modified>
</cp:coreProperties>
</file>